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0101192046HA\Users\HGarias\Desktop\ISO - EEJ\2024 ISO\EEJ - PLANIFICACIÓN - 2024\"/>
    </mc:Choice>
  </mc:AlternateContent>
  <bookViews>
    <workbookView xWindow="0" yWindow="0" windowWidth="18675" windowHeight="8145" tabRatio="785" firstSheet="2" activeTab="2"/>
  </bookViews>
  <sheets>
    <sheet name="Indicador AÑO 2020" sheetId="6" state="hidden" r:id="rId1"/>
    <sheet name="Indicador 2" sheetId="7" state="hidden" r:id="rId2"/>
    <sheet name="INDICADOR EEJ" sheetId="10" r:id="rId3"/>
  </sheets>
  <definedNames>
    <definedName name="_xlnm.Print_Area" localSheetId="0">'Indicador AÑO 2020'!$A$1:$U$52</definedName>
    <definedName name="_xlnm.Print_Area" localSheetId="2">'INDICADOR EEJ'!$A$1:$T$49</definedName>
  </definedNames>
  <calcPr calcId="152511"/>
</workbook>
</file>

<file path=xl/calcChain.xml><?xml version="1.0" encoding="utf-8"?>
<calcChain xmlns="http://schemas.openxmlformats.org/spreadsheetml/2006/main">
  <c r="Q32" i="10" l="1"/>
  <c r="O32" i="10"/>
  <c r="M32" i="10"/>
  <c r="R23" i="10"/>
  <c r="R22" i="10"/>
  <c r="R21" i="10"/>
  <c r="R20" i="10"/>
  <c r="R19" i="10"/>
  <c r="R18" i="10"/>
  <c r="R32" i="10" l="1"/>
  <c r="Q20" i="7" l="1"/>
  <c r="Q21" i="7" l="1"/>
  <c r="Q22" i="7"/>
  <c r="Q23" i="7"/>
  <c r="Q24" i="7"/>
  <c r="Q25" i="7"/>
  <c r="M34" i="7" l="1"/>
  <c r="O34" i="7" l="1"/>
  <c r="Q34" i="7" s="1"/>
  <c r="M34" i="6" l="1"/>
  <c r="O34" i="6"/>
  <c r="Q34" i="6"/>
  <c r="R21" i="6"/>
  <c r="R20" i="6"/>
  <c r="R34" i="6" l="1"/>
  <c r="U20" i="6" l="1"/>
</calcChain>
</file>

<file path=xl/sharedStrings.xml><?xml version="1.0" encoding="utf-8"?>
<sst xmlns="http://schemas.openxmlformats.org/spreadsheetml/2006/main" count="137" uniqueCount="81">
  <si>
    <t xml:space="preserve">ANALISIS </t>
  </si>
  <si>
    <t>Cumplimiento  (%)</t>
  </si>
  <si>
    <t xml:space="preserve">INSERTAR grafica </t>
  </si>
  <si>
    <t>FICHA DE INDICADORES DE PROCESO</t>
  </si>
  <si>
    <t>ORGANISMO JUDICIAL</t>
  </si>
  <si>
    <t>Meta</t>
  </si>
  <si>
    <t>PLANEACION ESTRATEGICA</t>
  </si>
  <si>
    <t>NOMBRE DEL PROCESO:</t>
  </si>
  <si>
    <t>OBJETIVO:</t>
  </si>
  <si>
    <t>NOMBRE DEL GESTOR:</t>
  </si>
  <si>
    <t>INDICE:</t>
  </si>
  <si>
    <t>RESPONSABLE DEL INDICADOR:</t>
  </si>
  <si>
    <t>FECHA DE ACTUALIZACIÓN:</t>
  </si>
  <si>
    <t>META:</t>
  </si>
  <si>
    <t>INDICADOR:</t>
  </si>
  <si>
    <t>FUENTE DE DATOS:</t>
  </si>
  <si>
    <t>FRECUENCIA DE MEDICIÓN:</t>
  </si>
  <si>
    <t>FRECUENCIA DE ANALISIS:</t>
  </si>
  <si>
    <t>Fecha</t>
  </si>
  <si>
    <t xml:space="preserve">Fecha </t>
  </si>
  <si>
    <t>Elaborado por:</t>
  </si>
  <si>
    <t>Revisado y Aprobado por:</t>
  </si>
  <si>
    <t>Descripción de la Situación</t>
  </si>
  <si>
    <t>Total</t>
  </si>
  <si>
    <t>FO-PE-09</t>
  </si>
  <si>
    <t>SEGUIMIENTO Y MEDICIÓN</t>
  </si>
  <si>
    <t>XXX%</t>
  </si>
  <si>
    <t>Bimensual</t>
  </si>
  <si>
    <t>Enero 2021</t>
  </si>
  <si>
    <t>Oferta programada</t>
  </si>
  <si>
    <t>Oferta no ejecutada</t>
  </si>
  <si>
    <t>Oferta Extraordinaria</t>
  </si>
  <si>
    <t>DNC</t>
  </si>
  <si>
    <t>Escuela de Estudios Judiciales</t>
  </si>
  <si>
    <t>Lililan Carlota Iten Garcia</t>
  </si>
  <si>
    <t>XXXX</t>
  </si>
  <si>
    <t>Año 2020</t>
  </si>
  <si>
    <t xml:space="preserve"> (Total oferta programada - total oferta no ejecutada + total oferta extraoordinaria) / total oferta programada </t>
  </si>
  <si>
    <t xml:space="preserve">Anual </t>
  </si>
  <si>
    <t xml:space="preserve"> </t>
  </si>
  <si>
    <t>Año 2021</t>
  </si>
  <si>
    <t>Ene/Feb</t>
  </si>
  <si>
    <t>Mar/Abr</t>
  </si>
  <si>
    <t>May/ Jun</t>
  </si>
  <si>
    <t>Jul/Ago</t>
  </si>
  <si>
    <t>Sep/Oct</t>
  </si>
  <si>
    <t>Nov /Dic</t>
  </si>
  <si>
    <t>Fecha de entrega de notas - fecha de finalización del curso</t>
  </si>
  <si>
    <t>(Agregar los datos del responsable)</t>
  </si>
  <si>
    <t>Cumplir con el cierre de las capacitaciones en el Sistema de la Escuela de Estudios Judiciales en el tiempo de 15 dìas establecido</t>
  </si>
  <si>
    <t>Oferta no cerrada en el Sistema</t>
  </si>
  <si>
    <t xml:space="preserve">% de cumplimiento del cierre de la oferta </t>
  </si>
  <si>
    <t xml:space="preserve">total de horas fuera de  imempo. </t>
  </si>
  <si>
    <t>8 días%</t>
  </si>
  <si>
    <t>Total de días</t>
  </si>
  <si>
    <t xml:space="preserve">ANÁLISIS </t>
  </si>
  <si>
    <t xml:space="preserve">DÍA </t>
  </si>
  <si>
    <t>MES</t>
  </si>
  <si>
    <t>AÑO</t>
  </si>
  <si>
    <t>NOMBRE DEL DUEÑO DEL PROCESO:</t>
  </si>
  <si>
    <t>Porcentaje de Ejecución del Programa Ordinario y Extraordinario de Capacitaciones dirigido a las dependencias ISO</t>
  </si>
  <si>
    <t>Cumplir con el 80%  de ejecución del programa de capacitaciones  de las dependencias ISO.</t>
  </si>
  <si>
    <t>Programa de formación programado</t>
  </si>
  <si>
    <t>Programa de formación no ejecutado</t>
  </si>
  <si>
    <t>Programa de formación Extraordinario</t>
  </si>
  <si>
    <t>Informe de Ejecución del Programa de Formación Judicial y Administrativo de Personal de las Unidades del Sistema de Gestión de Calidad y Salas de la Corte de Apelaciones Certificadas Normas ISO y Programación Preliminar Anual del Programa de Formación Judicial y Administrativo de Personal de las Unidades del Sistema de Gestión de Calidad y Salas de la Corte de Apelaciones Certificadas Normas ISO.</t>
  </si>
  <si>
    <t>Ene/Feb 2024</t>
  </si>
  <si>
    <t>Mar/Abr 2024</t>
  </si>
  <si>
    <t>May/ Jun 2024</t>
  </si>
  <si>
    <t>Jul/Ago 2024</t>
  </si>
  <si>
    <t>Sep/Oct 2024</t>
  </si>
  <si>
    <t>Nov /Dic 2024</t>
  </si>
  <si>
    <t>M.A. Saúl Estuardo Reyes Valenzuela</t>
  </si>
  <si>
    <t>Versión: 03</t>
  </si>
  <si>
    <r>
      <rPr>
        <b/>
        <sz val="11"/>
        <color indexed="8"/>
        <rFont val="Century Gothic"/>
        <family val="2"/>
      </rPr>
      <t>Escuela de Estudios Judiciales</t>
    </r>
    <r>
      <rPr>
        <sz val="11"/>
        <color indexed="8"/>
        <rFont val="Century Gothic"/>
        <family val="2"/>
      </rPr>
      <t xml:space="preserve">
Sistema de Gestión de Calidad
FO-EEJ-60</t>
    </r>
  </si>
  <si>
    <t>Lcda. Esther Margarita Marroquin Cabrera
Coordinadora III
Coordinación de Programas de Formación</t>
  </si>
  <si>
    <t>Herberth Giovani Arias García
Oficinista IV
Gestor de Calidad</t>
  </si>
  <si>
    <t xml:space="preserve">Elaborado por: </t>
  </si>
  <si>
    <t xml:space="preserve">Revisado y Aprobado por: </t>
  </si>
  <si>
    <t>Herberth Giovanni Arias Garcia</t>
  </si>
  <si>
    <r>
      <t xml:space="preserve"> (Total programa de formación programado - total programa de formación no ejecutado + total programa de formación extraordinario) /</t>
    </r>
    <r>
      <rPr>
        <sz val="11"/>
        <color rgb="FFFF0000"/>
        <rFont val="Times New Roman"/>
        <family val="1"/>
      </rPr>
      <t xml:space="preserve"> </t>
    </r>
    <r>
      <rPr>
        <sz val="11"/>
        <color theme="1"/>
        <rFont val="Times New Roman"/>
        <family val="1"/>
      </rPr>
      <t>(total programa de formación programado + total de programa de formación extraordinario) x 100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</si>
</sst>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9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name val="Arial Unicode MS"/>
      <family val="2"/>
    </font>
    <font>
      <sz val="10"/>
      <name val="Times New Roman"/>
      <family val="1"/>
    </font>
    <font>
      <sz val="20"/>
      <name val="Times New Roman"/>
      <family val="1"/>
    </font>
    <font>
      <b/>
      <sz val="10"/>
      <name val="Century Gothic"/>
      <family val="2"/>
    </font>
    <font>
      <b/>
      <sz val="14"/>
      <name val="Century Gothic"/>
      <family val="2"/>
    </font>
    <font>
      <b/>
      <sz val="10"/>
      <color indexed="9"/>
      <name val="Century Gothic"/>
      <family val="2"/>
    </font>
    <font>
      <sz val="10"/>
      <name val="Century Gothic"/>
      <family val="2"/>
    </font>
    <font>
      <sz val="10"/>
      <color indexed="9"/>
      <name val="Century Gothic"/>
      <family val="2"/>
    </font>
    <font>
      <sz val="11"/>
      <name val="Century Gothic"/>
      <family val="2"/>
    </font>
    <font>
      <sz val="9"/>
      <name val="Century Gothic"/>
      <family val="2"/>
    </font>
    <font>
      <b/>
      <sz val="10"/>
      <color indexed="8"/>
      <name val="Century Gothic"/>
      <family val="2"/>
    </font>
    <font>
      <sz val="12"/>
      <name val="Times New Roman"/>
      <family val="1"/>
    </font>
    <font>
      <b/>
      <sz val="9"/>
      <name val="Century Gothic"/>
      <family val="2"/>
    </font>
    <font>
      <b/>
      <sz val="10"/>
      <name val="Arial Unicode MS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sz val="11"/>
      <color indexed="9"/>
      <name val="Calibri"/>
      <family val="2"/>
    </font>
    <font>
      <b/>
      <sz val="15"/>
      <color indexed="56"/>
      <name val="Calibri"/>
      <family val="2"/>
    </font>
    <font>
      <b/>
      <sz val="11"/>
      <color indexed="56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b/>
      <sz val="8"/>
      <color indexed="8"/>
      <name val="Century Gothic"/>
      <family val="2"/>
    </font>
    <font>
      <sz val="11"/>
      <color indexed="8"/>
      <name val="Century Gothic"/>
      <family val="2"/>
    </font>
    <font>
      <sz val="10"/>
      <color rgb="FFFF0000"/>
      <name val="Century Gothic"/>
      <family val="2"/>
    </font>
    <font>
      <b/>
      <sz val="14"/>
      <color theme="0"/>
      <name val="Times New Roman"/>
      <family val="1"/>
    </font>
    <font>
      <b/>
      <sz val="10"/>
      <color indexed="9"/>
      <name val="Times New Roman"/>
      <family val="1"/>
    </font>
    <font>
      <b/>
      <sz val="10"/>
      <name val="Times New Roman"/>
      <family val="1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  <font>
      <sz val="10"/>
      <color indexed="9"/>
      <name val="Times New Roman"/>
      <family val="1"/>
    </font>
    <font>
      <b/>
      <sz val="10"/>
      <color theme="0"/>
      <name val="Times New Roman"/>
      <family val="1"/>
    </font>
    <font>
      <b/>
      <sz val="8"/>
      <color indexed="8"/>
      <name val="Times New Roman"/>
      <family val="1"/>
    </font>
    <font>
      <b/>
      <sz val="9"/>
      <name val="Times New Roman"/>
      <family val="1"/>
    </font>
    <font>
      <b/>
      <sz val="11"/>
      <color indexed="8"/>
      <name val="Century Gothic"/>
      <family val="2"/>
    </font>
    <font>
      <sz val="11"/>
      <color rgb="FFFF0000"/>
      <name val="Times New Roman"/>
      <family val="1"/>
    </font>
    <font>
      <sz val="11"/>
      <color theme="1"/>
      <name val="Times New Roman"/>
      <family val="1"/>
    </font>
    <font>
      <b/>
      <sz val="11"/>
      <name val="Times New Roman"/>
      <family val="1"/>
    </font>
  </fonts>
  <fills count="31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46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3B79"/>
        <bgColor indexed="64"/>
      </patternFill>
    </fill>
    <fill>
      <patternFill patternType="solid">
        <fgColor theme="0" tint="-0.14999847407452621"/>
        <bgColor indexed="64"/>
      </patternFill>
    </fill>
  </fills>
  <borders count="6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26" fillId="16" borderId="0" applyNumberFormat="0" applyBorder="0" applyAlignment="0" applyProtection="0"/>
    <xf numFmtId="0" fontId="26" fillId="11" borderId="0" applyNumberFormat="0" applyBorder="0" applyAlignment="0" applyProtection="0"/>
    <xf numFmtId="0" fontId="26" fillId="12" borderId="0" applyNumberFormat="0" applyBorder="0" applyAlignment="0" applyProtection="0"/>
    <xf numFmtId="0" fontId="26" fillId="17" borderId="0" applyNumberFormat="0" applyBorder="0" applyAlignment="0" applyProtection="0"/>
    <xf numFmtId="0" fontId="26" fillId="14" borderId="0" applyNumberFormat="0" applyBorder="0" applyAlignment="0" applyProtection="0"/>
    <xf numFmtId="0" fontId="26" fillId="18" borderId="0" applyNumberFormat="0" applyBorder="0" applyAlignment="0" applyProtection="0"/>
    <xf numFmtId="0" fontId="17" fillId="6" borderId="0" applyNumberFormat="0" applyBorder="0" applyAlignment="0" applyProtection="0"/>
    <xf numFmtId="0" fontId="21" fillId="10" borderId="1" applyNumberFormat="0" applyAlignment="0" applyProtection="0"/>
    <xf numFmtId="0" fontId="23" fillId="20" borderId="2" applyNumberFormat="0" applyAlignment="0" applyProtection="0"/>
    <xf numFmtId="0" fontId="22" fillId="0" borderId="3" applyNumberFormat="0" applyFill="0" applyAlignment="0" applyProtection="0"/>
    <xf numFmtId="0" fontId="27" fillId="0" borderId="4" applyNumberFormat="0" applyFill="0" applyAlignment="0" applyProtection="0"/>
    <xf numFmtId="0" fontId="28" fillId="0" borderId="0" applyNumberFormat="0" applyFill="0" applyBorder="0" applyAlignment="0" applyProtection="0"/>
    <xf numFmtId="0" fontId="26" fillId="21" borderId="0" applyNumberFormat="0" applyBorder="0" applyAlignment="0" applyProtection="0"/>
    <xf numFmtId="0" fontId="26" fillId="22" borderId="0" applyNumberFormat="0" applyBorder="0" applyAlignment="0" applyProtection="0"/>
    <xf numFmtId="0" fontId="26" fillId="15" borderId="0" applyNumberFormat="0" applyBorder="0" applyAlignment="0" applyProtection="0"/>
    <xf numFmtId="0" fontId="26" fillId="17" borderId="0" applyNumberFormat="0" applyBorder="0" applyAlignment="0" applyProtection="0"/>
    <xf numFmtId="0" fontId="26" fillId="14" borderId="0" applyNumberFormat="0" applyBorder="0" applyAlignment="0" applyProtection="0"/>
    <xf numFmtId="0" fontId="26" fillId="19" borderId="0" applyNumberFormat="0" applyBorder="0" applyAlignment="0" applyProtection="0"/>
    <xf numFmtId="0" fontId="19" fillId="3" borderId="1" applyNumberFormat="0" applyAlignment="0" applyProtection="0"/>
    <xf numFmtId="0" fontId="18" fillId="7" borderId="0" applyNumberFormat="0" applyBorder="0" applyAlignment="0" applyProtection="0"/>
    <xf numFmtId="0" fontId="1" fillId="4" borderId="5" applyNumberFormat="0" applyFont="0" applyAlignment="0" applyProtection="0"/>
    <xf numFmtId="9" fontId="2" fillId="0" borderId="0" applyFont="0" applyFill="0" applyBorder="0" applyAlignment="0" applyProtection="0"/>
    <xf numFmtId="0" fontId="20" fillId="10" borderId="6" applyNumberFormat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7" fillId="0" borderId="4" applyNumberFormat="0" applyFill="0" applyAlignment="0" applyProtection="0"/>
    <xf numFmtId="0" fontId="30" fillId="0" borderId="7" applyNumberFormat="0" applyFill="0" applyAlignment="0" applyProtection="0"/>
    <xf numFmtId="0" fontId="28" fillId="0" borderId="8" applyNumberFormat="0" applyFill="0" applyAlignment="0" applyProtection="0"/>
  </cellStyleXfs>
  <cellXfs count="288">
    <xf numFmtId="0" fontId="0" fillId="0" borderId="0" xfId="0"/>
    <xf numFmtId="0" fontId="3" fillId="0" borderId="0" xfId="0" applyFont="1" applyAlignment="1" applyProtection="1">
      <alignment vertical="center"/>
    </xf>
    <xf numFmtId="0" fontId="3" fillId="23" borderId="0" xfId="0" applyFont="1" applyFill="1" applyAlignment="1" applyProtection="1">
      <alignment vertical="center"/>
    </xf>
    <xf numFmtId="0" fontId="3" fillId="0" borderId="0" xfId="0" applyFont="1" applyBorder="1" applyAlignment="1" applyProtection="1">
      <alignment vertical="center"/>
    </xf>
    <xf numFmtId="0" fontId="9" fillId="0" borderId="0" xfId="0" applyFont="1" applyAlignment="1" applyProtection="1">
      <alignment vertical="center"/>
    </xf>
    <xf numFmtId="0" fontId="8" fillId="0" borderId="0" xfId="0" applyFont="1" applyFill="1" applyBorder="1" applyAlignment="1" applyProtection="1">
      <alignment vertical="center"/>
    </xf>
    <xf numFmtId="0" fontId="6" fillId="0" borderId="0" xfId="0" applyFont="1" applyBorder="1" applyAlignment="1" applyProtection="1">
      <alignment horizontal="left" vertical="center"/>
    </xf>
    <xf numFmtId="0" fontId="10" fillId="0" borderId="0" xfId="0" applyFont="1" applyFill="1" applyBorder="1" applyAlignment="1" applyProtection="1">
      <alignment horizontal="center" vertical="center"/>
    </xf>
    <xf numFmtId="9" fontId="9" fillId="0" borderId="0" xfId="34" applyFont="1" applyFill="1" applyBorder="1" applyAlignment="1">
      <alignment horizontal="center" vertical="center"/>
    </xf>
    <xf numFmtId="0" fontId="9" fillId="23" borderId="0" xfId="0" applyFont="1" applyFill="1" applyBorder="1" applyAlignment="1" applyProtection="1">
      <alignment horizontal="left" vertical="center"/>
    </xf>
    <xf numFmtId="0" fontId="9" fillId="0" borderId="0" xfId="0" applyFont="1" applyBorder="1" applyAlignment="1" applyProtection="1">
      <alignment horizontal="left" vertical="center"/>
    </xf>
    <xf numFmtId="0" fontId="6" fillId="0" borderId="0" xfId="0" applyFont="1" applyFill="1" applyBorder="1" applyAlignment="1" applyProtection="1">
      <alignment vertical="center"/>
    </xf>
    <xf numFmtId="0" fontId="9" fillId="0" borderId="0" xfId="0" applyFont="1" applyFill="1" applyBorder="1" applyAlignment="1" applyProtection="1">
      <alignment vertical="center" wrapText="1"/>
    </xf>
    <xf numFmtId="0" fontId="9" fillId="0" borderId="0" xfId="0" applyFont="1" applyBorder="1" applyAlignment="1" applyProtection="1">
      <alignment vertical="center"/>
    </xf>
    <xf numFmtId="0" fontId="6" fillId="23" borderId="0" xfId="0" applyFont="1" applyFill="1" applyBorder="1" applyAlignment="1" applyProtection="1">
      <alignment vertical="center"/>
    </xf>
    <xf numFmtId="0" fontId="13" fillId="0" borderId="9" xfId="0" applyFont="1" applyFill="1" applyBorder="1" applyAlignment="1" applyProtection="1">
      <alignment horizontal="center" vertical="center"/>
    </xf>
    <xf numFmtId="0" fontId="13" fillId="0" borderId="10" xfId="0" applyFont="1" applyFill="1" applyBorder="1" applyAlignment="1" applyProtection="1">
      <alignment horizontal="center" vertical="center"/>
    </xf>
    <xf numFmtId="0" fontId="8" fillId="23" borderId="0" xfId="0" applyFont="1" applyFill="1" applyBorder="1" applyAlignment="1" applyProtection="1">
      <alignment vertical="center" wrapText="1"/>
    </xf>
    <xf numFmtId="9" fontId="9" fillId="0" borderId="11" xfId="0" applyNumberFormat="1" applyFont="1" applyFill="1" applyBorder="1" applyAlignment="1" applyProtection="1">
      <alignment horizontal="center" vertical="center" wrapText="1"/>
    </xf>
    <xf numFmtId="14" fontId="13" fillId="0" borderId="9" xfId="0" applyNumberFormat="1" applyFont="1" applyFill="1" applyBorder="1" applyAlignment="1" applyProtection="1">
      <alignment horizontal="center" vertical="center"/>
    </xf>
    <xf numFmtId="0" fontId="3" fillId="0" borderId="0" xfId="0" applyFont="1" applyAlignment="1" applyProtection="1">
      <alignment vertical="center" wrapText="1"/>
    </xf>
    <xf numFmtId="0" fontId="31" fillId="24" borderId="15" xfId="0" applyFont="1" applyFill="1" applyBorder="1" applyAlignment="1" applyProtection="1">
      <alignment horizontal="center" vertical="center" wrapText="1"/>
    </xf>
    <xf numFmtId="0" fontId="13" fillId="24" borderId="16" xfId="0" applyFont="1" applyFill="1" applyBorder="1" applyAlignment="1" applyProtection="1">
      <alignment vertical="center"/>
    </xf>
    <xf numFmtId="0" fontId="13" fillId="24" borderId="13" xfId="0" applyFont="1" applyFill="1" applyBorder="1" applyAlignment="1" applyProtection="1">
      <alignment vertical="center"/>
    </xf>
    <xf numFmtId="9" fontId="32" fillId="24" borderId="17" xfId="0" applyNumberFormat="1" applyFont="1" applyFill="1" applyBorder="1" applyAlignment="1" applyProtection="1">
      <alignment vertical="center" wrapText="1"/>
    </xf>
    <xf numFmtId="0" fontId="32" fillId="24" borderId="18" xfId="0" applyFont="1" applyFill="1" applyBorder="1" applyAlignment="1" applyProtection="1">
      <alignment vertical="center" wrapText="1"/>
    </xf>
    <xf numFmtId="0" fontId="13" fillId="24" borderId="19" xfId="0" applyFont="1" applyFill="1" applyBorder="1" applyAlignment="1" applyProtection="1">
      <alignment vertical="center"/>
    </xf>
    <xf numFmtId="0" fontId="13" fillId="24" borderId="12" xfId="0" applyFont="1" applyFill="1" applyBorder="1" applyAlignment="1" applyProtection="1">
      <alignment vertical="center"/>
    </xf>
    <xf numFmtId="10" fontId="9" fillId="0" borderId="0" xfId="0" applyNumberFormat="1" applyFont="1" applyBorder="1" applyAlignment="1" applyProtection="1">
      <alignment vertical="center"/>
    </xf>
    <xf numFmtId="0" fontId="16" fillId="0" borderId="0" xfId="0" applyFont="1" applyAlignment="1" applyProtection="1">
      <alignment vertical="center"/>
    </xf>
    <xf numFmtId="0" fontId="31" fillId="24" borderId="17" xfId="0" applyFont="1" applyFill="1" applyBorder="1" applyAlignment="1" applyProtection="1">
      <alignment horizontal="center" vertical="center" wrapText="1"/>
    </xf>
    <xf numFmtId="0" fontId="3" fillId="0" borderId="0" xfId="0" applyFont="1" applyAlignment="1" applyProtection="1">
      <alignment horizontal="center" vertical="center"/>
    </xf>
    <xf numFmtId="0" fontId="6" fillId="0" borderId="53" xfId="0" applyFont="1" applyFill="1" applyBorder="1" applyAlignment="1" applyProtection="1">
      <alignment horizontal="center" vertical="center" wrapText="1"/>
    </xf>
    <xf numFmtId="9" fontId="6" fillId="0" borderId="54" xfId="0" applyNumberFormat="1" applyFont="1" applyFill="1" applyBorder="1" applyAlignment="1" applyProtection="1">
      <alignment horizontal="center" vertical="center" wrapText="1"/>
    </xf>
    <xf numFmtId="9" fontId="6" fillId="0" borderId="25" xfId="0" applyNumberFormat="1" applyFont="1" applyFill="1" applyBorder="1" applyAlignment="1" applyProtection="1">
      <alignment horizontal="center" vertical="center" wrapText="1"/>
    </xf>
    <xf numFmtId="0" fontId="6" fillId="0" borderId="48" xfId="0" applyFont="1" applyFill="1" applyBorder="1" applyAlignment="1" applyProtection="1">
      <alignment horizontal="center" vertical="center" wrapText="1"/>
    </xf>
    <xf numFmtId="0" fontId="6" fillId="0" borderId="53" xfId="0" applyFont="1" applyFill="1" applyBorder="1" applyAlignment="1" applyProtection="1">
      <alignment horizontal="center" vertical="center" wrapText="1"/>
    </xf>
    <xf numFmtId="0" fontId="31" fillId="24" borderId="17" xfId="0" applyFont="1" applyFill="1" applyBorder="1" applyAlignment="1" applyProtection="1">
      <alignment horizontal="center" vertical="center" wrapText="1"/>
    </xf>
    <xf numFmtId="9" fontId="9" fillId="26" borderId="23" xfId="0" applyNumberFormat="1" applyFont="1" applyFill="1" applyBorder="1" applyAlignment="1" applyProtection="1">
      <alignment horizontal="center" vertical="center" wrapText="1"/>
    </xf>
    <xf numFmtId="9" fontId="6" fillId="0" borderId="21" xfId="0" applyNumberFormat="1" applyFont="1" applyFill="1" applyBorder="1" applyAlignment="1" applyProtection="1">
      <alignment horizontal="center" vertical="center" wrapText="1"/>
    </xf>
    <xf numFmtId="9" fontId="9" fillId="26" borderId="21" xfId="0" applyNumberFormat="1" applyFont="1" applyFill="1" applyBorder="1" applyAlignment="1" applyProtection="1">
      <alignment horizontal="center" vertical="center" wrapText="1"/>
    </xf>
    <xf numFmtId="9" fontId="9" fillId="0" borderId="14" xfId="0" applyNumberFormat="1" applyFont="1" applyFill="1" applyBorder="1" applyAlignment="1" applyProtection="1">
      <alignment horizontal="center" vertical="center" wrapText="1"/>
    </xf>
    <xf numFmtId="10" fontId="9" fillId="0" borderId="14" xfId="0" applyNumberFormat="1" applyFont="1" applyFill="1" applyBorder="1" applyAlignment="1" applyProtection="1">
      <alignment horizontal="center" vertical="center" wrapText="1"/>
    </xf>
    <xf numFmtId="10" fontId="9" fillId="0" borderId="49" xfId="0" applyNumberFormat="1" applyFont="1" applyFill="1" applyBorder="1" applyAlignment="1" applyProtection="1">
      <alignment horizontal="center" vertical="center" wrapText="1"/>
    </xf>
    <xf numFmtId="14" fontId="3" fillId="0" borderId="0" xfId="0" applyNumberFormat="1" applyFont="1" applyAlignment="1" applyProtection="1">
      <alignment vertical="center"/>
    </xf>
    <xf numFmtId="9" fontId="9" fillId="0" borderId="21" xfId="0" applyNumberFormat="1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/>
    </xf>
    <xf numFmtId="0" fontId="36" fillId="0" borderId="0" xfId="0" applyFont="1" applyBorder="1" applyAlignment="1" applyProtection="1">
      <alignment horizontal="left" vertical="center"/>
    </xf>
    <xf numFmtId="0" fontId="36" fillId="0" borderId="21" xfId="0" applyFont="1" applyBorder="1" applyAlignment="1" applyProtection="1">
      <alignment horizontal="center"/>
    </xf>
    <xf numFmtId="0" fontId="36" fillId="0" borderId="37" xfId="0" applyFont="1" applyBorder="1" applyAlignment="1" applyProtection="1">
      <alignment horizontal="center"/>
    </xf>
    <xf numFmtId="49" fontId="38" fillId="0" borderId="22" xfId="0" applyNumberFormat="1" applyFont="1" applyBorder="1" applyAlignment="1" applyProtection="1">
      <alignment horizontal="center" vertical="center" wrapText="1"/>
    </xf>
    <xf numFmtId="49" fontId="38" fillId="0" borderId="21" xfId="0" applyNumberFormat="1" applyFont="1" applyBorder="1" applyAlignment="1" applyProtection="1">
      <alignment horizontal="center" vertical="center" wrapText="1"/>
    </xf>
    <xf numFmtId="0" fontId="41" fillId="0" borderId="0" xfId="0" applyFont="1" applyFill="1" applyBorder="1" applyAlignment="1" applyProtection="1">
      <alignment horizontal="center" vertical="center"/>
    </xf>
    <xf numFmtId="9" fontId="4" fillId="0" borderId="0" xfId="34" applyFont="1" applyFill="1" applyBorder="1" applyAlignment="1">
      <alignment horizontal="center" vertical="center"/>
    </xf>
    <xf numFmtId="0" fontId="4" fillId="23" borderId="0" xfId="0" applyFont="1" applyFill="1" applyBorder="1" applyAlignment="1" applyProtection="1">
      <alignment horizontal="left" vertical="center"/>
    </xf>
    <xf numFmtId="0" fontId="4" fillId="0" borderId="0" xfId="0" applyFont="1" applyBorder="1" applyAlignment="1" applyProtection="1">
      <alignment horizontal="left" vertical="center"/>
    </xf>
    <xf numFmtId="0" fontId="36" fillId="0" borderId="0" xfId="0" applyFont="1" applyFill="1" applyBorder="1" applyAlignment="1" applyProtection="1">
      <alignment vertical="center"/>
    </xf>
    <xf numFmtId="0" fontId="4" fillId="0" borderId="0" xfId="0" applyFont="1" applyFill="1" applyBorder="1" applyAlignment="1" applyProtection="1">
      <alignment vertical="center" wrapText="1"/>
    </xf>
    <xf numFmtId="0" fontId="4" fillId="0" borderId="32" xfId="0" applyFont="1" applyFill="1" applyBorder="1" applyAlignment="1" applyProtection="1">
      <alignment horizontal="center" vertical="center" wrapText="1"/>
    </xf>
    <xf numFmtId="9" fontId="4" fillId="28" borderId="14" xfId="0" applyNumberFormat="1" applyFont="1" applyFill="1" applyBorder="1" applyAlignment="1" applyProtection="1">
      <alignment horizontal="center" vertical="center" wrapText="1"/>
    </xf>
    <xf numFmtId="9" fontId="4" fillId="0" borderId="11" xfId="0" applyNumberFormat="1" applyFont="1" applyFill="1" applyBorder="1" applyAlignment="1" applyProtection="1">
      <alignment horizontal="center" vertical="center" wrapText="1"/>
    </xf>
    <xf numFmtId="9" fontId="4" fillId="0" borderId="14" xfId="0" applyNumberFormat="1" applyFont="1" applyFill="1" applyBorder="1" applyAlignment="1" applyProtection="1">
      <alignment horizontal="center" vertical="center" wrapText="1"/>
    </xf>
    <xf numFmtId="10" fontId="4" fillId="0" borderId="14" xfId="0" applyNumberFormat="1" applyFont="1" applyFill="1" applyBorder="1" applyAlignment="1" applyProtection="1">
      <alignment horizontal="center" vertical="center" wrapText="1"/>
    </xf>
    <xf numFmtId="10" fontId="4" fillId="0" borderId="49" xfId="0" applyNumberFormat="1" applyFont="1" applyFill="1" applyBorder="1" applyAlignment="1" applyProtection="1">
      <alignment horizontal="center" vertical="center" wrapText="1"/>
    </xf>
    <xf numFmtId="9" fontId="4" fillId="0" borderId="20" xfId="0" applyNumberFormat="1" applyFont="1" applyFill="1" applyBorder="1" applyAlignment="1" applyProtection="1">
      <alignment horizontal="center" vertical="center" wrapText="1"/>
    </xf>
    <xf numFmtId="0" fontId="4" fillId="0" borderId="48" xfId="0" applyFont="1" applyFill="1" applyBorder="1" applyAlignment="1" applyProtection="1">
      <alignment horizontal="center" vertical="center" wrapText="1"/>
    </xf>
    <xf numFmtId="10" fontId="4" fillId="28" borderId="21" xfId="0" applyNumberFormat="1" applyFont="1" applyFill="1" applyBorder="1" applyAlignment="1" applyProtection="1">
      <alignment horizontal="center" vertical="center" wrapText="1"/>
    </xf>
    <xf numFmtId="9" fontId="4" fillId="26" borderId="21" xfId="0" applyNumberFormat="1" applyFont="1" applyFill="1" applyBorder="1" applyAlignment="1" applyProtection="1">
      <alignment horizontal="center" vertical="center" wrapText="1"/>
    </xf>
    <xf numFmtId="0" fontId="4" fillId="0" borderId="0" xfId="0" applyFont="1" applyAlignment="1" applyProtection="1">
      <alignment vertical="center"/>
    </xf>
    <xf numFmtId="0" fontId="37" fillId="30" borderId="19" xfId="0" applyFont="1" applyFill="1" applyBorder="1" applyAlignment="1" applyProtection="1">
      <alignment vertical="center"/>
    </xf>
    <xf numFmtId="0" fontId="37" fillId="30" borderId="12" xfId="0" applyFont="1" applyFill="1" applyBorder="1" applyAlignment="1" applyProtection="1">
      <alignment vertical="center"/>
    </xf>
    <xf numFmtId="0" fontId="43" fillId="30" borderId="17" xfId="0" applyFont="1" applyFill="1" applyBorder="1" applyAlignment="1" applyProtection="1">
      <alignment horizontal="center" vertical="center" wrapText="1"/>
    </xf>
    <xf numFmtId="0" fontId="43" fillId="30" borderId="15" xfId="0" applyFont="1" applyFill="1" applyBorder="1" applyAlignment="1" applyProtection="1">
      <alignment horizontal="center" vertical="center" wrapText="1"/>
    </xf>
    <xf numFmtId="0" fontId="9" fillId="0" borderId="0" xfId="0" applyFont="1" applyBorder="1" applyAlignment="1" applyProtection="1">
      <alignment horizontal="right" vertical="center"/>
    </xf>
    <xf numFmtId="0" fontId="3" fillId="0" borderId="14" xfId="0" applyFont="1" applyBorder="1" applyAlignment="1" applyProtection="1">
      <alignment horizontal="left" vertical="center"/>
    </xf>
    <xf numFmtId="0" fontId="6" fillId="25" borderId="35" xfId="0" applyFont="1" applyFill="1" applyBorder="1" applyAlignment="1" applyProtection="1">
      <alignment horizontal="center" vertical="center"/>
    </xf>
    <xf numFmtId="0" fontId="6" fillId="25" borderId="36" xfId="0" applyFont="1" applyFill="1" applyBorder="1" applyAlignment="1" applyProtection="1">
      <alignment horizontal="center" vertical="center"/>
    </xf>
    <xf numFmtId="0" fontId="6" fillId="25" borderId="37" xfId="0" applyFont="1" applyFill="1" applyBorder="1" applyAlignment="1" applyProtection="1">
      <alignment horizontal="center" vertical="center"/>
    </xf>
    <xf numFmtId="0" fontId="13" fillId="0" borderId="14" xfId="0" applyFont="1" applyFill="1" applyBorder="1" applyAlignment="1" applyProtection="1">
      <alignment horizontal="center" vertical="center"/>
    </xf>
    <xf numFmtId="0" fontId="13" fillId="0" borderId="11" xfId="0" applyFont="1" applyFill="1" applyBorder="1" applyAlignment="1" applyProtection="1">
      <alignment horizontal="center" vertical="center"/>
    </xf>
    <xf numFmtId="0" fontId="13" fillId="0" borderId="32" xfId="0" applyFont="1" applyFill="1" applyBorder="1" applyAlignment="1" applyProtection="1">
      <alignment horizontal="left" vertical="center" wrapText="1"/>
    </xf>
    <xf numFmtId="0" fontId="13" fillId="0" borderId="39" xfId="0" applyFont="1" applyFill="1" applyBorder="1" applyAlignment="1" applyProtection="1">
      <alignment horizontal="left" vertical="center" wrapText="1"/>
    </xf>
    <xf numFmtId="0" fontId="13" fillId="0" borderId="40" xfId="0" applyFont="1" applyFill="1" applyBorder="1" applyAlignment="1" applyProtection="1">
      <alignment horizontal="left" vertical="center" wrapText="1"/>
    </xf>
    <xf numFmtId="0" fontId="13" fillId="0" borderId="32" xfId="0" applyFont="1" applyFill="1" applyBorder="1" applyAlignment="1" applyProtection="1">
      <alignment horizontal="left" vertical="center"/>
    </xf>
    <xf numFmtId="0" fontId="13" fillId="0" borderId="39" xfId="0" applyFont="1" applyFill="1" applyBorder="1" applyAlignment="1" applyProtection="1">
      <alignment horizontal="left" vertical="center"/>
    </xf>
    <xf numFmtId="0" fontId="13" fillId="0" borderId="40" xfId="0" applyFont="1" applyFill="1" applyBorder="1" applyAlignment="1" applyProtection="1">
      <alignment horizontal="left" vertical="center"/>
    </xf>
    <xf numFmtId="0" fontId="13" fillId="0" borderId="30" xfId="0" applyFont="1" applyFill="1" applyBorder="1" applyAlignment="1" applyProtection="1">
      <alignment horizontal="center" vertical="center"/>
    </xf>
    <xf numFmtId="0" fontId="13" fillId="0" borderId="50" xfId="0" applyFont="1" applyFill="1" applyBorder="1" applyAlignment="1" applyProtection="1">
      <alignment horizontal="center" vertical="center"/>
    </xf>
    <xf numFmtId="0" fontId="3" fillId="0" borderId="32" xfId="0" applyFont="1" applyBorder="1" applyAlignment="1" applyProtection="1">
      <alignment horizontal="left" vertical="center"/>
    </xf>
    <xf numFmtId="0" fontId="3" fillId="0" borderId="39" xfId="0" applyFont="1" applyBorder="1" applyAlignment="1" applyProtection="1">
      <alignment horizontal="left" vertical="center"/>
    </xf>
    <xf numFmtId="0" fontId="3" fillId="0" borderId="33" xfId="0" applyFont="1" applyBorder="1" applyAlignment="1" applyProtection="1">
      <alignment horizontal="left" vertical="center"/>
    </xf>
    <xf numFmtId="0" fontId="16" fillId="0" borderId="14" xfId="0" applyFont="1" applyBorder="1" applyAlignment="1" applyProtection="1">
      <alignment horizontal="center"/>
    </xf>
    <xf numFmtId="0" fontId="6" fillId="0" borderId="53" xfId="0" applyFont="1" applyFill="1" applyBorder="1" applyAlignment="1" applyProtection="1">
      <alignment horizontal="center" vertical="center" wrapText="1"/>
    </xf>
    <xf numFmtId="0" fontId="6" fillId="0" borderId="52" xfId="0" applyFont="1" applyFill="1" applyBorder="1" applyAlignment="1" applyProtection="1">
      <alignment horizontal="center" vertical="center" wrapText="1"/>
    </xf>
    <xf numFmtId="17" fontId="15" fillId="0" borderId="51" xfId="0" applyNumberFormat="1" applyFont="1" applyFill="1" applyBorder="1" applyAlignment="1" applyProtection="1">
      <alignment horizontal="center" vertical="center" wrapText="1"/>
    </xf>
    <xf numFmtId="17" fontId="15" fillId="0" borderId="47" xfId="0" applyNumberFormat="1" applyFont="1" applyFill="1" applyBorder="1" applyAlignment="1" applyProtection="1">
      <alignment horizontal="center" vertical="center" wrapText="1"/>
    </xf>
    <xf numFmtId="0" fontId="6" fillId="0" borderId="47" xfId="0" applyFont="1" applyFill="1" applyBorder="1" applyAlignment="1" applyProtection="1">
      <alignment horizontal="center" vertical="center" wrapText="1"/>
    </xf>
    <xf numFmtId="17" fontId="15" fillId="0" borderId="24" xfId="0" applyNumberFormat="1" applyFont="1" applyFill="1" applyBorder="1" applyAlignment="1" applyProtection="1">
      <alignment horizontal="center" vertical="center" wrapText="1"/>
    </xf>
    <xf numFmtId="17" fontId="15" fillId="0" borderId="52" xfId="0" applyNumberFormat="1" applyFont="1" applyFill="1" applyBorder="1" applyAlignment="1" applyProtection="1">
      <alignment horizontal="center" vertical="center" wrapText="1"/>
    </xf>
    <xf numFmtId="0" fontId="13" fillId="24" borderId="24" xfId="0" applyFont="1" applyFill="1" applyBorder="1" applyAlignment="1" applyProtection="1">
      <alignment horizontal="left" vertical="center"/>
    </xf>
    <xf numFmtId="0" fontId="13" fillId="24" borderId="26" xfId="0" applyFont="1" applyFill="1" applyBorder="1" applyAlignment="1" applyProtection="1">
      <alignment horizontal="left" vertical="center"/>
    </xf>
    <xf numFmtId="0" fontId="9" fillId="0" borderId="24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9" fillId="0" borderId="25" xfId="0" applyFont="1" applyBorder="1" applyAlignment="1" applyProtection="1">
      <alignment horizontal="center" vertical="center"/>
    </xf>
    <xf numFmtId="0" fontId="9" fillId="0" borderId="26" xfId="0" applyFont="1" applyBorder="1" applyAlignment="1" applyProtection="1">
      <alignment horizontal="center" vertical="center"/>
    </xf>
    <xf numFmtId="0" fontId="9" fillId="0" borderId="27" xfId="0" applyFont="1" applyBorder="1" applyAlignment="1" applyProtection="1">
      <alignment horizontal="center" vertical="center"/>
    </xf>
    <xf numFmtId="0" fontId="9" fillId="0" borderId="28" xfId="0" applyFont="1" applyBorder="1" applyAlignment="1" applyProtection="1">
      <alignment horizontal="center" vertical="center"/>
    </xf>
    <xf numFmtId="0" fontId="13" fillId="24" borderId="33" xfId="0" applyFont="1" applyFill="1" applyBorder="1" applyAlignment="1" applyProtection="1">
      <alignment horizontal="left" vertical="center"/>
    </xf>
    <xf numFmtId="0" fontId="13" fillId="24" borderId="14" xfId="0" applyFont="1" applyFill="1" applyBorder="1" applyAlignment="1" applyProtection="1">
      <alignment horizontal="left" vertical="center"/>
    </xf>
    <xf numFmtId="0" fontId="13" fillId="24" borderId="32" xfId="0" applyFont="1" applyFill="1" applyBorder="1" applyAlignment="1" applyProtection="1">
      <alignment horizontal="left" vertical="center"/>
    </xf>
    <xf numFmtId="0" fontId="9" fillId="0" borderId="38" xfId="0" applyFont="1" applyBorder="1" applyAlignment="1" applyProtection="1">
      <alignment horizontal="center" vertical="center" wrapText="1"/>
    </xf>
    <xf numFmtId="0" fontId="9" fillId="0" borderId="39" xfId="0" applyFont="1" applyBorder="1" applyAlignment="1" applyProtection="1">
      <alignment horizontal="center" vertical="center" wrapText="1"/>
    </xf>
    <xf numFmtId="0" fontId="9" fillId="0" borderId="40" xfId="0" applyFont="1" applyBorder="1" applyAlignment="1" applyProtection="1">
      <alignment horizontal="center" vertical="center" wrapText="1"/>
    </xf>
    <xf numFmtId="0" fontId="13" fillId="24" borderId="29" xfId="0" applyFont="1" applyFill="1" applyBorder="1" applyAlignment="1" applyProtection="1">
      <alignment horizontal="left" vertical="center"/>
    </xf>
    <xf numFmtId="0" fontId="13" fillId="24" borderId="30" xfId="0" applyFont="1" applyFill="1" applyBorder="1" applyAlignment="1" applyProtection="1">
      <alignment horizontal="left" vertical="center"/>
    </xf>
    <xf numFmtId="0" fontId="13" fillId="24" borderId="31" xfId="0" applyFont="1" applyFill="1" applyBorder="1" applyAlignment="1" applyProtection="1">
      <alignment horizontal="left" vertical="center"/>
    </xf>
    <xf numFmtId="0" fontId="9" fillId="0" borderId="41" xfId="0" applyFont="1" applyBorder="1" applyAlignment="1" applyProtection="1">
      <alignment horizontal="center" vertical="center" wrapText="1"/>
    </xf>
    <xf numFmtId="0" fontId="9" fillId="0" borderId="42" xfId="0" applyFont="1" applyBorder="1" applyAlignment="1" applyProtection="1">
      <alignment horizontal="center" vertical="center" wrapText="1"/>
    </xf>
    <xf numFmtId="0" fontId="9" fillId="0" borderId="43" xfId="0" applyFont="1" applyBorder="1" applyAlignment="1" applyProtection="1">
      <alignment horizontal="center" vertical="center" wrapText="1"/>
    </xf>
    <xf numFmtId="0" fontId="6" fillId="25" borderId="12" xfId="0" applyFont="1" applyFill="1" applyBorder="1" applyAlignment="1" applyProtection="1">
      <alignment horizontal="center" vertical="center"/>
    </xf>
    <xf numFmtId="0" fontId="6" fillId="25" borderId="22" xfId="0" applyFont="1" applyFill="1" applyBorder="1" applyAlignment="1" applyProtection="1">
      <alignment horizontal="center" vertical="center"/>
    </xf>
    <xf numFmtId="0" fontId="6" fillId="25" borderId="23" xfId="0" applyFont="1" applyFill="1" applyBorder="1" applyAlignment="1" applyProtection="1">
      <alignment horizontal="center" vertical="center"/>
    </xf>
    <xf numFmtId="0" fontId="9" fillId="23" borderId="0" xfId="0" applyFont="1" applyFill="1" applyBorder="1" applyAlignment="1" applyProtection="1">
      <alignment horizontal="center" vertical="center"/>
    </xf>
    <xf numFmtId="0" fontId="31" fillId="24" borderId="17" xfId="0" applyFont="1" applyFill="1" applyBorder="1" applyAlignment="1" applyProtection="1">
      <alignment horizontal="center" vertical="center" wrapText="1"/>
    </xf>
    <xf numFmtId="0" fontId="31" fillId="24" borderId="16" xfId="0" applyFont="1" applyFill="1" applyBorder="1" applyAlignment="1" applyProtection="1">
      <alignment horizontal="center" vertical="center" wrapText="1"/>
    </xf>
    <xf numFmtId="0" fontId="6" fillId="23" borderId="12" xfId="0" applyFont="1" applyFill="1" applyBorder="1" applyAlignment="1" applyProtection="1">
      <alignment horizontal="center" vertical="center"/>
    </xf>
    <xf numFmtId="0" fontId="6" fillId="23" borderId="22" xfId="0" applyFont="1" applyFill="1" applyBorder="1" applyAlignment="1" applyProtection="1">
      <alignment horizontal="center" vertical="center"/>
    </xf>
    <xf numFmtId="0" fontId="6" fillId="23" borderId="23" xfId="0" applyFont="1" applyFill="1" applyBorder="1" applyAlignment="1" applyProtection="1">
      <alignment horizontal="center" vertical="center"/>
    </xf>
    <xf numFmtId="0" fontId="9" fillId="0" borderId="12" xfId="0" applyFont="1" applyBorder="1" applyAlignment="1" applyProtection="1">
      <alignment horizontal="center" vertical="center" wrapText="1"/>
    </xf>
    <xf numFmtId="0" fontId="9" fillId="0" borderId="22" xfId="0" applyFont="1" applyBorder="1" applyAlignment="1" applyProtection="1">
      <alignment horizontal="center" vertical="center" wrapText="1"/>
    </xf>
    <xf numFmtId="0" fontId="9" fillId="0" borderId="23" xfId="0" applyFont="1" applyBorder="1" applyAlignment="1" applyProtection="1">
      <alignment horizontal="center" vertical="center" wrapText="1"/>
    </xf>
    <xf numFmtId="0" fontId="4" fillId="0" borderId="24" xfId="0" applyFont="1" applyBorder="1" applyAlignment="1" applyProtection="1">
      <alignment horizontal="center" vertical="center" textRotation="90"/>
    </xf>
    <xf numFmtId="0" fontId="13" fillId="24" borderId="22" xfId="0" applyFont="1" applyFill="1" applyBorder="1" applyAlignment="1" applyProtection="1">
      <alignment horizontal="left" vertical="center"/>
    </xf>
    <xf numFmtId="0" fontId="12" fillId="0" borderId="12" xfId="0" applyFont="1" applyBorder="1" applyAlignment="1" applyProtection="1">
      <alignment horizontal="center" vertical="center" wrapText="1"/>
    </xf>
    <xf numFmtId="0" fontId="12" fillId="0" borderId="22" xfId="0" applyFont="1" applyBorder="1" applyAlignment="1" applyProtection="1">
      <alignment horizontal="center" vertical="center" wrapText="1"/>
    </xf>
    <xf numFmtId="0" fontId="12" fillId="0" borderId="23" xfId="0" applyFont="1" applyBorder="1" applyAlignment="1" applyProtection="1">
      <alignment horizontal="center" vertical="center" wrapText="1"/>
    </xf>
    <xf numFmtId="0" fontId="13" fillId="24" borderId="18" xfId="0" applyFont="1" applyFill="1" applyBorder="1" applyAlignment="1" applyProtection="1">
      <alignment horizontal="left" vertical="center"/>
    </xf>
    <xf numFmtId="9" fontId="11" fillId="0" borderId="19" xfId="0" applyNumberFormat="1" applyFont="1" applyBorder="1" applyAlignment="1" applyProtection="1">
      <alignment horizontal="center" vertical="center" wrapText="1"/>
    </xf>
    <xf numFmtId="0" fontId="11" fillId="0" borderId="18" xfId="0" applyFont="1" applyBorder="1" applyAlignment="1" applyProtection="1">
      <alignment horizontal="center" vertical="center" wrapText="1"/>
    </xf>
    <xf numFmtId="0" fontId="11" fillId="0" borderId="34" xfId="0" applyFont="1" applyBorder="1" applyAlignment="1" applyProtection="1">
      <alignment horizontal="center" vertical="center" wrapText="1"/>
    </xf>
    <xf numFmtId="0" fontId="6" fillId="23" borderId="12" xfId="0" applyFont="1" applyFill="1" applyBorder="1" applyAlignment="1" applyProtection="1">
      <alignment horizontal="center" vertical="center" wrapText="1"/>
    </xf>
    <xf numFmtId="0" fontId="6" fillId="23" borderId="22" xfId="0" applyFont="1" applyFill="1" applyBorder="1" applyAlignment="1" applyProtection="1">
      <alignment horizontal="center" vertical="center" wrapText="1"/>
    </xf>
    <xf numFmtId="0" fontId="6" fillId="23" borderId="23" xfId="0" applyFont="1" applyFill="1" applyBorder="1" applyAlignment="1" applyProtection="1">
      <alignment horizontal="center" vertical="center" wrapText="1"/>
    </xf>
    <xf numFmtId="49" fontId="6" fillId="23" borderId="12" xfId="0" applyNumberFormat="1" applyFont="1" applyFill="1" applyBorder="1" applyAlignment="1" applyProtection="1">
      <alignment horizontal="center" vertical="center"/>
    </xf>
    <xf numFmtId="49" fontId="6" fillId="23" borderId="22" xfId="0" applyNumberFormat="1" applyFont="1" applyFill="1" applyBorder="1" applyAlignment="1" applyProtection="1">
      <alignment horizontal="center" vertical="center"/>
    </xf>
    <xf numFmtId="49" fontId="6" fillId="23" borderId="23" xfId="0" applyNumberFormat="1" applyFont="1" applyFill="1" applyBorder="1" applyAlignment="1" applyProtection="1">
      <alignment horizontal="center" vertical="center"/>
    </xf>
    <xf numFmtId="0" fontId="5" fillId="0" borderId="0" xfId="0" applyFont="1" applyBorder="1" applyAlignment="1" applyProtection="1">
      <alignment horizontal="center" vertical="center"/>
    </xf>
    <xf numFmtId="0" fontId="5" fillId="0" borderId="27" xfId="0" applyFont="1" applyBorder="1" applyAlignment="1" applyProtection="1">
      <alignment horizontal="center" vertical="center"/>
    </xf>
    <xf numFmtId="0" fontId="14" fillId="0" borderId="0" xfId="0" applyFont="1" applyBorder="1" applyAlignment="1" applyProtection="1">
      <alignment horizontal="center" vertical="center"/>
    </xf>
    <xf numFmtId="0" fontId="4" fillId="0" borderId="0" xfId="0" applyFont="1" applyBorder="1" applyAlignment="1" applyProtection="1">
      <alignment horizontal="center" vertical="center"/>
    </xf>
    <xf numFmtId="0" fontId="14" fillId="0" borderId="27" xfId="0" applyFont="1" applyBorder="1" applyAlignment="1" applyProtection="1">
      <alignment horizontal="center" vertical="center"/>
    </xf>
    <xf numFmtId="0" fontId="7" fillId="25" borderId="35" xfId="0" applyFont="1" applyFill="1" applyBorder="1" applyAlignment="1" applyProtection="1">
      <alignment horizontal="center" vertical="center"/>
    </xf>
    <xf numFmtId="0" fontId="7" fillId="25" borderId="36" xfId="0" applyFont="1" applyFill="1" applyBorder="1" applyAlignment="1" applyProtection="1">
      <alignment horizontal="center" vertical="center"/>
    </xf>
    <xf numFmtId="0" fontId="7" fillId="25" borderId="37" xfId="0" applyFont="1" applyFill="1" applyBorder="1" applyAlignment="1" applyProtection="1">
      <alignment horizontal="center" vertical="center"/>
    </xf>
    <xf numFmtId="0" fontId="7" fillId="25" borderId="24" xfId="0" applyFont="1" applyFill="1" applyBorder="1" applyAlignment="1" applyProtection="1">
      <alignment horizontal="center" vertical="center"/>
    </xf>
    <xf numFmtId="0" fontId="7" fillId="25" borderId="0" xfId="0" applyFont="1" applyFill="1" applyBorder="1" applyAlignment="1" applyProtection="1">
      <alignment horizontal="center" vertical="center"/>
    </xf>
    <xf numFmtId="0" fontId="7" fillId="25" borderId="25" xfId="0" applyFont="1" applyFill="1" applyBorder="1" applyAlignment="1" applyProtection="1">
      <alignment horizontal="center" vertical="center"/>
    </xf>
    <xf numFmtId="0" fontId="7" fillId="25" borderId="26" xfId="0" applyFont="1" applyFill="1" applyBorder="1" applyAlignment="1" applyProtection="1">
      <alignment horizontal="center" vertical="center"/>
    </xf>
    <xf numFmtId="0" fontId="7" fillId="25" borderId="27" xfId="0" applyFont="1" applyFill="1" applyBorder="1" applyAlignment="1" applyProtection="1">
      <alignment horizontal="center" vertical="center"/>
    </xf>
    <xf numFmtId="0" fontId="7" fillId="25" borderId="28" xfId="0" applyFont="1" applyFill="1" applyBorder="1" applyAlignment="1" applyProtection="1">
      <alignment horizontal="center" vertical="center"/>
    </xf>
    <xf numFmtId="17" fontId="12" fillId="0" borderId="45" xfId="0" applyNumberFormat="1" applyFont="1" applyFill="1" applyBorder="1" applyAlignment="1" applyProtection="1">
      <alignment horizontal="center" vertical="center" wrapText="1"/>
    </xf>
    <xf numFmtId="17" fontId="12" fillId="0" borderId="46" xfId="0" applyNumberFormat="1" applyFont="1" applyFill="1" applyBorder="1" applyAlignment="1" applyProtection="1">
      <alignment horizontal="center" vertical="center" wrapText="1"/>
    </xf>
    <xf numFmtId="0" fontId="9" fillId="0" borderId="49" xfId="0" applyFont="1" applyFill="1" applyBorder="1" applyAlignment="1" applyProtection="1">
      <alignment horizontal="center" vertical="center" wrapText="1"/>
    </xf>
    <xf numFmtId="17" fontId="15" fillId="0" borderId="12" xfId="0" applyNumberFormat="1" applyFont="1" applyFill="1" applyBorder="1" applyAlignment="1" applyProtection="1">
      <alignment horizontal="center" vertical="center" wrapText="1"/>
    </xf>
    <xf numFmtId="17" fontId="15" fillId="0" borderId="44" xfId="0" applyNumberFormat="1" applyFont="1" applyFill="1" applyBorder="1" applyAlignment="1" applyProtection="1">
      <alignment horizontal="center" vertical="center" wrapText="1"/>
    </xf>
    <xf numFmtId="0" fontId="6" fillId="0" borderId="48" xfId="0" applyFont="1" applyFill="1" applyBorder="1" applyAlignment="1" applyProtection="1">
      <alignment horizontal="center" vertical="center" wrapText="1"/>
    </xf>
    <xf numFmtId="17" fontId="12" fillId="0" borderId="38" xfId="0" applyNumberFormat="1" applyFont="1" applyFill="1" applyBorder="1" applyAlignment="1" applyProtection="1">
      <alignment horizontal="center" vertical="center" wrapText="1"/>
    </xf>
    <xf numFmtId="17" fontId="12" fillId="0" borderId="33" xfId="0" applyNumberFormat="1" applyFont="1" applyFill="1" applyBorder="1" applyAlignment="1" applyProtection="1">
      <alignment horizontal="center" vertical="center" wrapText="1"/>
    </xf>
    <xf numFmtId="0" fontId="9" fillId="0" borderId="14" xfId="0" applyFont="1" applyFill="1" applyBorder="1" applyAlignment="1" applyProtection="1">
      <alignment horizontal="center" vertical="center" wrapText="1"/>
    </xf>
    <xf numFmtId="0" fontId="9" fillId="0" borderId="32" xfId="0" applyFont="1" applyFill="1" applyBorder="1" applyAlignment="1" applyProtection="1">
      <alignment horizontal="center" vertical="center" wrapText="1"/>
    </xf>
    <xf numFmtId="0" fontId="9" fillId="0" borderId="33" xfId="0" applyFont="1" applyFill="1" applyBorder="1" applyAlignment="1" applyProtection="1">
      <alignment horizontal="center" vertical="center" wrapText="1"/>
    </xf>
    <xf numFmtId="0" fontId="9" fillId="27" borderId="12" xfId="0" applyFont="1" applyFill="1" applyBorder="1" applyAlignment="1" applyProtection="1">
      <alignment horizontal="center" vertical="center" wrapText="1"/>
    </xf>
    <xf numFmtId="0" fontId="9" fillId="27" borderId="22" xfId="0" applyFont="1" applyFill="1" applyBorder="1" applyAlignment="1" applyProtection="1">
      <alignment horizontal="center" vertical="center" wrapText="1"/>
    </xf>
    <xf numFmtId="0" fontId="9" fillId="27" borderId="23" xfId="0" applyFont="1" applyFill="1" applyBorder="1" applyAlignment="1" applyProtection="1">
      <alignment horizontal="center" vertical="center" wrapText="1"/>
    </xf>
    <xf numFmtId="0" fontId="33" fillId="0" borderId="12" xfId="0" applyFont="1" applyBorder="1" applyAlignment="1" applyProtection="1">
      <alignment horizontal="center" vertical="center" wrapText="1"/>
    </xf>
    <xf numFmtId="0" fontId="5" fillId="0" borderId="35" xfId="0" applyFont="1" applyBorder="1" applyAlignment="1" applyProtection="1">
      <alignment horizontal="center" vertical="center"/>
    </xf>
    <xf numFmtId="0" fontId="5" fillId="0" borderId="36" xfId="0" applyFont="1" applyBorder="1" applyAlignment="1" applyProtection="1">
      <alignment horizontal="center" vertical="center"/>
    </xf>
    <xf numFmtId="0" fontId="5" fillId="0" borderId="37" xfId="0" applyFont="1" applyBorder="1" applyAlignment="1" applyProtection="1">
      <alignment horizontal="center" vertical="center"/>
    </xf>
    <xf numFmtId="0" fontId="32" fillId="0" borderId="26" xfId="0" applyFont="1" applyFill="1" applyBorder="1" applyAlignment="1">
      <alignment horizontal="center" vertical="top" wrapText="1"/>
    </xf>
    <xf numFmtId="0" fontId="32" fillId="0" borderId="27" xfId="0" applyFont="1" applyFill="1" applyBorder="1" applyAlignment="1">
      <alignment horizontal="center" vertical="top" wrapText="1"/>
    </xf>
    <xf numFmtId="0" fontId="32" fillId="0" borderId="28" xfId="0" applyFont="1" applyFill="1" applyBorder="1" applyAlignment="1">
      <alignment horizontal="center" vertical="top" wrapText="1"/>
    </xf>
    <xf numFmtId="17" fontId="39" fillId="0" borderId="38" xfId="0" applyNumberFormat="1" applyFont="1" applyFill="1" applyBorder="1" applyAlignment="1" applyProtection="1">
      <alignment horizontal="center" vertical="center" wrapText="1"/>
    </xf>
    <xf numFmtId="17" fontId="39" fillId="0" borderId="33" xfId="0" applyNumberFormat="1" applyFont="1" applyFill="1" applyBorder="1" applyAlignment="1" applyProtection="1">
      <alignment horizontal="center" vertical="center" wrapText="1"/>
    </xf>
    <xf numFmtId="0" fontId="4" fillId="0" borderId="32" xfId="0" applyFont="1" applyFill="1" applyBorder="1" applyAlignment="1" applyProtection="1">
      <alignment horizontal="center" vertical="center" wrapText="1"/>
    </xf>
    <xf numFmtId="0" fontId="4" fillId="0" borderId="33" xfId="0" applyFont="1" applyFill="1" applyBorder="1" applyAlignment="1" applyProtection="1">
      <alignment horizontal="center" vertical="center" wrapText="1"/>
    </xf>
    <xf numFmtId="0" fontId="37" fillId="30" borderId="38" xfId="0" applyFont="1" applyFill="1" applyBorder="1" applyAlignment="1" applyProtection="1">
      <alignment horizontal="center" vertical="center"/>
    </xf>
    <xf numFmtId="0" fontId="37" fillId="30" borderId="39" xfId="0" applyFont="1" applyFill="1" applyBorder="1" applyAlignment="1" applyProtection="1">
      <alignment horizontal="center" vertical="center"/>
    </xf>
    <xf numFmtId="0" fontId="37" fillId="30" borderId="40" xfId="0" applyFont="1" applyFill="1" applyBorder="1" applyAlignment="1" applyProtection="1">
      <alignment horizontal="center" vertical="center"/>
    </xf>
    <xf numFmtId="14" fontId="38" fillId="0" borderId="45" xfId="0" applyNumberFormat="1" applyFont="1" applyFill="1" applyBorder="1" applyAlignment="1" applyProtection="1">
      <alignment horizontal="center" vertical="center"/>
    </xf>
    <xf numFmtId="14" fontId="38" fillId="0" borderId="55" xfId="0" applyNumberFormat="1" applyFont="1" applyFill="1" applyBorder="1" applyAlignment="1" applyProtection="1">
      <alignment horizontal="center" vertical="center"/>
    </xf>
    <xf numFmtId="14" fontId="38" fillId="0" borderId="56" xfId="0" applyNumberFormat="1" applyFont="1" applyFill="1" applyBorder="1" applyAlignment="1" applyProtection="1">
      <alignment horizontal="center" vertical="center"/>
    </xf>
    <xf numFmtId="14" fontId="38" fillId="0" borderId="24" xfId="0" applyNumberFormat="1" applyFont="1" applyFill="1" applyBorder="1" applyAlignment="1" applyProtection="1">
      <alignment horizontal="center" vertical="center"/>
    </xf>
    <xf numFmtId="14" fontId="38" fillId="0" borderId="0" xfId="0" applyNumberFormat="1" applyFont="1" applyFill="1" applyBorder="1" applyAlignment="1" applyProtection="1">
      <alignment horizontal="center" vertical="center"/>
    </xf>
    <xf numFmtId="14" fontId="38" fillId="0" borderId="25" xfId="0" applyNumberFormat="1" applyFont="1" applyFill="1" applyBorder="1" applyAlignment="1" applyProtection="1">
      <alignment horizontal="center" vertical="center"/>
    </xf>
    <xf numFmtId="14" fontId="38" fillId="0" borderId="26" xfId="0" applyNumberFormat="1" applyFont="1" applyFill="1" applyBorder="1" applyAlignment="1" applyProtection="1">
      <alignment horizontal="center" vertical="center"/>
    </xf>
    <xf numFmtId="14" fontId="38" fillId="0" borderId="27" xfId="0" applyNumberFormat="1" applyFont="1" applyFill="1" applyBorder="1" applyAlignment="1" applyProtection="1">
      <alignment horizontal="center" vertical="center"/>
    </xf>
    <xf numFmtId="14" fontId="38" fillId="0" borderId="28" xfId="0" applyNumberFormat="1" applyFont="1" applyFill="1" applyBorder="1" applyAlignment="1" applyProtection="1">
      <alignment horizontal="center" vertical="center"/>
    </xf>
    <xf numFmtId="0" fontId="40" fillId="0" borderId="32" xfId="0" applyFont="1" applyBorder="1" applyAlignment="1" applyProtection="1">
      <alignment horizontal="left" vertical="center"/>
    </xf>
    <xf numFmtId="0" fontId="40" fillId="0" borderId="39" xfId="0" applyFont="1" applyBorder="1" applyAlignment="1" applyProtection="1">
      <alignment horizontal="left" vertical="center"/>
    </xf>
    <xf numFmtId="0" fontId="40" fillId="0" borderId="33" xfId="0" applyFont="1" applyBorder="1" applyAlignment="1" applyProtection="1">
      <alignment horizontal="left" vertical="center"/>
    </xf>
    <xf numFmtId="0" fontId="4" fillId="0" borderId="14" xfId="0" applyFont="1" applyFill="1" applyBorder="1" applyAlignment="1" applyProtection="1">
      <alignment horizontal="center" vertical="center" wrapText="1"/>
    </xf>
    <xf numFmtId="0" fontId="40" fillId="0" borderId="57" xfId="0" applyFont="1" applyBorder="1" applyAlignment="1" applyProtection="1">
      <alignment horizontal="center" wrapText="1"/>
    </xf>
    <xf numFmtId="0" fontId="40" fillId="0" borderId="55" xfId="0" applyFont="1" applyBorder="1" applyAlignment="1" applyProtection="1">
      <alignment horizontal="center" wrapText="1"/>
    </xf>
    <xf numFmtId="0" fontId="40" fillId="0" borderId="46" xfId="0" applyFont="1" applyBorder="1" applyAlignment="1" applyProtection="1">
      <alignment horizontal="center" wrapText="1"/>
    </xf>
    <xf numFmtId="0" fontId="40" fillId="0" borderId="53" xfId="0" applyFont="1" applyBorder="1" applyAlignment="1" applyProtection="1">
      <alignment horizontal="center" wrapText="1"/>
    </xf>
    <xf numFmtId="0" fontId="40" fillId="0" borderId="0" xfId="0" applyFont="1" applyBorder="1" applyAlignment="1" applyProtection="1">
      <alignment horizontal="center" wrapText="1"/>
    </xf>
    <xf numFmtId="0" fontId="40" fillId="0" borderId="52" xfId="0" applyFont="1" applyBorder="1" applyAlignment="1" applyProtection="1">
      <alignment horizontal="center" wrapText="1"/>
    </xf>
    <xf numFmtId="0" fontId="40" fillId="0" borderId="58" xfId="0" applyFont="1" applyBorder="1" applyAlignment="1" applyProtection="1">
      <alignment horizontal="center" wrapText="1"/>
    </xf>
    <xf numFmtId="0" fontId="40" fillId="0" borderId="59" xfId="0" applyFont="1" applyBorder="1" applyAlignment="1" applyProtection="1">
      <alignment horizontal="center" wrapText="1"/>
    </xf>
    <xf numFmtId="0" fontId="40" fillId="0" borderId="60" xfId="0" applyFont="1" applyBorder="1" applyAlignment="1" applyProtection="1">
      <alignment horizontal="center" wrapText="1"/>
    </xf>
    <xf numFmtId="0" fontId="42" fillId="29" borderId="35" xfId="0" applyFont="1" applyFill="1" applyBorder="1" applyAlignment="1" applyProtection="1">
      <alignment horizontal="center" vertical="center"/>
    </xf>
    <xf numFmtId="0" fontId="42" fillId="29" borderId="36" xfId="0" applyFont="1" applyFill="1" applyBorder="1" applyAlignment="1" applyProtection="1">
      <alignment horizontal="center" vertical="center"/>
    </xf>
    <xf numFmtId="0" fontId="42" fillId="29" borderId="37" xfId="0" applyFont="1" applyFill="1" applyBorder="1" applyAlignment="1" applyProtection="1">
      <alignment horizontal="center" vertical="center"/>
    </xf>
    <xf numFmtId="17" fontId="39" fillId="0" borderId="45" xfId="0" applyNumberFormat="1" applyFont="1" applyFill="1" applyBorder="1" applyAlignment="1" applyProtection="1">
      <alignment horizontal="center" vertical="center" wrapText="1"/>
    </xf>
    <xf numFmtId="17" fontId="39" fillId="0" borderId="46" xfId="0" applyNumberFormat="1" applyFont="1" applyFill="1" applyBorder="1" applyAlignment="1" applyProtection="1">
      <alignment horizontal="center" vertical="center" wrapText="1"/>
    </xf>
    <xf numFmtId="0" fontId="4" fillId="0" borderId="49" xfId="0" applyFont="1" applyFill="1" applyBorder="1" applyAlignment="1" applyProtection="1">
      <alignment horizontal="center" vertical="center" wrapText="1"/>
    </xf>
    <xf numFmtId="17" fontId="44" fillId="0" borderId="12" xfId="0" applyNumberFormat="1" applyFont="1" applyFill="1" applyBorder="1" applyAlignment="1" applyProtection="1">
      <alignment horizontal="center" vertical="center" wrapText="1"/>
    </xf>
    <xf numFmtId="17" fontId="44" fillId="0" borderId="44" xfId="0" applyNumberFormat="1" applyFont="1" applyFill="1" applyBorder="1" applyAlignment="1" applyProtection="1">
      <alignment horizontal="center" vertical="center" wrapText="1"/>
    </xf>
    <xf numFmtId="0" fontId="36" fillId="0" borderId="47" xfId="0" applyFont="1" applyFill="1" applyBorder="1" applyAlignment="1" applyProtection="1">
      <alignment horizontal="center" vertical="center" wrapText="1"/>
    </xf>
    <xf numFmtId="0" fontId="36" fillId="0" borderId="48" xfId="0" applyFont="1" applyFill="1" applyBorder="1" applyAlignment="1" applyProtection="1">
      <alignment horizontal="center" vertical="center" wrapText="1"/>
    </xf>
    <xf numFmtId="0" fontId="37" fillId="30" borderId="24" xfId="0" applyFont="1" applyFill="1" applyBorder="1" applyAlignment="1" applyProtection="1">
      <alignment horizontal="left" vertical="center"/>
    </xf>
    <xf numFmtId="0" fontId="37" fillId="30" borderId="26" xfId="0" applyFont="1" applyFill="1" applyBorder="1" applyAlignment="1" applyProtection="1">
      <alignment horizontal="left" vertical="center"/>
    </xf>
    <xf numFmtId="0" fontId="4" fillId="0" borderId="24" xfId="0" applyFont="1" applyBorder="1" applyAlignment="1" applyProtection="1">
      <alignment horizontal="center" vertical="center" wrapText="1"/>
    </xf>
    <xf numFmtId="0" fontId="4" fillId="0" borderId="0" xfId="0" applyFont="1" applyBorder="1" applyAlignment="1" applyProtection="1">
      <alignment horizontal="center" vertical="center" wrapText="1"/>
    </xf>
    <xf numFmtId="0" fontId="4" fillId="0" borderId="25" xfId="0" applyFont="1" applyBorder="1" applyAlignment="1" applyProtection="1">
      <alignment horizontal="center" vertical="center" wrapText="1"/>
    </xf>
    <xf numFmtId="0" fontId="4" fillId="0" borderId="26" xfId="0" applyFont="1" applyBorder="1" applyAlignment="1" applyProtection="1">
      <alignment horizontal="center" vertical="center" wrapText="1"/>
    </xf>
    <xf numFmtId="0" fontId="4" fillId="0" borderId="27" xfId="0" applyFont="1" applyBorder="1" applyAlignment="1" applyProtection="1">
      <alignment horizontal="center" vertical="center" wrapText="1"/>
    </xf>
    <xf numFmtId="0" fontId="4" fillId="0" borderId="28" xfId="0" applyFont="1" applyBorder="1" applyAlignment="1" applyProtection="1">
      <alignment horizontal="center" vertical="center" wrapText="1"/>
    </xf>
    <xf numFmtId="0" fontId="37" fillId="30" borderId="33" xfId="0" applyFont="1" applyFill="1" applyBorder="1" applyAlignment="1" applyProtection="1">
      <alignment horizontal="left" vertical="center"/>
    </xf>
    <xf numFmtId="0" fontId="37" fillId="30" borderId="14" xfId="0" applyFont="1" applyFill="1" applyBorder="1" applyAlignment="1" applyProtection="1">
      <alignment horizontal="left" vertical="center"/>
    </xf>
    <xf numFmtId="0" fontId="37" fillId="30" borderId="32" xfId="0" applyFont="1" applyFill="1" applyBorder="1" applyAlignment="1" applyProtection="1">
      <alignment horizontal="left" vertical="center"/>
    </xf>
    <xf numFmtId="0" fontId="40" fillId="0" borderId="38" xfId="0" applyFont="1" applyBorder="1" applyAlignment="1" applyProtection="1">
      <alignment horizontal="center" vertical="center" wrapText="1"/>
    </xf>
    <xf numFmtId="0" fontId="40" fillId="0" borderId="39" xfId="0" applyFont="1" applyBorder="1" applyAlignment="1" applyProtection="1">
      <alignment horizontal="center" vertical="center" wrapText="1"/>
    </xf>
    <xf numFmtId="0" fontId="40" fillId="0" borderId="40" xfId="0" applyFont="1" applyBorder="1" applyAlignment="1" applyProtection="1">
      <alignment horizontal="center" vertical="center" wrapText="1"/>
    </xf>
    <xf numFmtId="0" fontId="37" fillId="30" borderId="29" xfId="0" applyFont="1" applyFill="1" applyBorder="1" applyAlignment="1" applyProtection="1">
      <alignment horizontal="left" vertical="center"/>
    </xf>
    <xf numFmtId="0" fontId="37" fillId="30" borderId="30" xfId="0" applyFont="1" applyFill="1" applyBorder="1" applyAlignment="1" applyProtection="1">
      <alignment horizontal="left" vertical="center"/>
    </xf>
    <xf numFmtId="0" fontId="37" fillId="30" borderId="31" xfId="0" applyFont="1" applyFill="1" applyBorder="1" applyAlignment="1" applyProtection="1">
      <alignment horizontal="left" vertical="center"/>
    </xf>
    <xf numFmtId="0" fontId="40" fillId="0" borderId="41" xfId="0" applyFont="1" applyBorder="1" applyAlignment="1" applyProtection="1">
      <alignment horizontal="center" vertical="center" wrapText="1"/>
    </xf>
    <xf numFmtId="0" fontId="40" fillId="0" borderId="42" xfId="0" applyFont="1" applyBorder="1" applyAlignment="1" applyProtection="1">
      <alignment horizontal="center" vertical="center" wrapText="1"/>
    </xf>
    <xf numFmtId="0" fontId="40" fillId="0" borderId="43" xfId="0" applyFont="1" applyBorder="1" applyAlignment="1" applyProtection="1">
      <alignment horizontal="center" vertical="center" wrapText="1"/>
    </xf>
    <xf numFmtId="0" fontId="42" fillId="29" borderId="12" xfId="0" applyFont="1" applyFill="1" applyBorder="1" applyAlignment="1" applyProtection="1">
      <alignment horizontal="center" vertical="center"/>
    </xf>
    <xf numFmtId="0" fontId="42" fillId="29" borderId="22" xfId="0" applyFont="1" applyFill="1" applyBorder="1" applyAlignment="1" applyProtection="1">
      <alignment horizontal="center" vertical="center"/>
    </xf>
    <xf numFmtId="0" fontId="42" fillId="29" borderId="23" xfId="0" applyFont="1" applyFill="1" applyBorder="1" applyAlignment="1" applyProtection="1">
      <alignment horizontal="center" vertical="center"/>
    </xf>
    <xf numFmtId="0" fontId="4" fillId="23" borderId="0" xfId="0" applyFont="1" applyFill="1" applyBorder="1" applyAlignment="1" applyProtection="1">
      <alignment horizontal="center" vertical="center"/>
    </xf>
    <xf numFmtId="0" fontId="43" fillId="30" borderId="17" xfId="0" applyFont="1" applyFill="1" applyBorder="1" applyAlignment="1" applyProtection="1">
      <alignment horizontal="center" vertical="center" wrapText="1"/>
    </xf>
    <xf numFmtId="0" fontId="43" fillId="30" borderId="16" xfId="0" applyFont="1" applyFill="1" applyBorder="1" applyAlignment="1" applyProtection="1">
      <alignment horizontal="center" vertical="center" wrapText="1"/>
    </xf>
    <xf numFmtId="0" fontId="40" fillId="28" borderId="12" xfId="0" applyFont="1" applyFill="1" applyBorder="1" applyAlignment="1" applyProtection="1">
      <alignment horizontal="center" vertical="center" wrapText="1"/>
    </xf>
    <xf numFmtId="0" fontId="40" fillId="28" borderId="22" xfId="0" applyFont="1" applyFill="1" applyBorder="1" applyAlignment="1" applyProtection="1">
      <alignment horizontal="center" vertical="center" wrapText="1"/>
    </xf>
    <xf numFmtId="0" fontId="40" fillId="28" borderId="23" xfId="0" applyFont="1" applyFill="1" applyBorder="1" applyAlignment="1" applyProtection="1">
      <alignment horizontal="center" vertical="center" wrapText="1"/>
    </xf>
    <xf numFmtId="0" fontId="37" fillId="30" borderId="22" xfId="0" applyFont="1" applyFill="1" applyBorder="1" applyAlignment="1" applyProtection="1">
      <alignment horizontal="left" vertical="center"/>
    </xf>
    <xf numFmtId="0" fontId="40" fillId="0" borderId="12" xfId="0" applyFont="1" applyBorder="1" applyAlignment="1" applyProtection="1">
      <alignment horizontal="center" vertical="center" wrapText="1"/>
    </xf>
    <xf numFmtId="0" fontId="40" fillId="0" borderId="22" xfId="0" applyFont="1" applyBorder="1" applyAlignment="1" applyProtection="1">
      <alignment horizontal="center" vertical="center" wrapText="1"/>
    </xf>
    <xf numFmtId="0" fontId="40" fillId="0" borderId="23" xfId="0" applyFont="1" applyBorder="1" applyAlignment="1" applyProtection="1">
      <alignment horizontal="center" vertical="center" wrapText="1"/>
    </xf>
    <xf numFmtId="0" fontId="37" fillId="30" borderId="18" xfId="0" applyFont="1" applyFill="1" applyBorder="1" applyAlignment="1" applyProtection="1">
      <alignment horizontal="left" vertical="center"/>
    </xf>
    <xf numFmtId="9" fontId="40" fillId="0" borderId="19" xfId="0" applyNumberFormat="1" applyFont="1" applyBorder="1" applyAlignment="1" applyProtection="1">
      <alignment horizontal="center" vertical="center" wrapText="1"/>
    </xf>
    <xf numFmtId="0" fontId="40" fillId="0" borderId="18" xfId="0" applyFont="1" applyBorder="1" applyAlignment="1" applyProtection="1">
      <alignment horizontal="center" vertical="center" wrapText="1"/>
    </xf>
    <xf numFmtId="0" fontId="40" fillId="0" borderId="34" xfId="0" applyFont="1" applyBorder="1" applyAlignment="1" applyProtection="1">
      <alignment horizontal="center" vertical="center" wrapText="1"/>
    </xf>
    <xf numFmtId="0" fontId="37" fillId="30" borderId="12" xfId="0" applyFont="1" applyFill="1" applyBorder="1" applyAlignment="1" applyProtection="1">
      <alignment horizontal="left" vertical="center"/>
    </xf>
    <xf numFmtId="0" fontId="37" fillId="30" borderId="23" xfId="0" applyFont="1" applyFill="1" applyBorder="1" applyAlignment="1" applyProtection="1">
      <alignment horizontal="left" vertical="center"/>
    </xf>
    <xf numFmtId="0" fontId="34" fillId="29" borderId="35" xfId="0" applyFont="1" applyFill="1" applyBorder="1" applyAlignment="1" applyProtection="1">
      <alignment horizontal="center" vertical="center" wrapText="1"/>
    </xf>
    <xf numFmtId="0" fontId="34" fillId="29" borderId="36" xfId="0" applyFont="1" applyFill="1" applyBorder="1" applyAlignment="1" applyProtection="1">
      <alignment horizontal="center" vertical="center"/>
    </xf>
    <xf numFmtId="0" fontId="34" fillId="29" borderId="37" xfId="0" applyFont="1" applyFill="1" applyBorder="1" applyAlignment="1" applyProtection="1">
      <alignment horizontal="center" vertical="center"/>
    </xf>
    <xf numFmtId="0" fontId="34" fillId="29" borderId="24" xfId="0" applyFont="1" applyFill="1" applyBorder="1" applyAlignment="1" applyProtection="1">
      <alignment horizontal="center" vertical="center"/>
    </xf>
    <xf numFmtId="0" fontId="34" fillId="29" borderId="0" xfId="0" applyFont="1" applyFill="1" applyBorder="1" applyAlignment="1" applyProtection="1">
      <alignment horizontal="center" vertical="center"/>
    </xf>
    <xf numFmtId="0" fontId="34" fillId="29" borderId="25" xfId="0" applyFont="1" applyFill="1" applyBorder="1" applyAlignment="1" applyProtection="1">
      <alignment horizontal="center" vertical="center"/>
    </xf>
    <xf numFmtId="0" fontId="34" fillId="29" borderId="26" xfId="0" applyFont="1" applyFill="1" applyBorder="1" applyAlignment="1" applyProtection="1">
      <alignment horizontal="center" vertical="center"/>
    </xf>
    <xf numFmtId="0" fontId="34" fillId="29" borderId="27" xfId="0" applyFont="1" applyFill="1" applyBorder="1" applyAlignment="1" applyProtection="1">
      <alignment horizontal="center" vertical="center"/>
    </xf>
    <xf numFmtId="0" fontId="34" fillId="29" borderId="28" xfId="0" applyFont="1" applyFill="1" applyBorder="1" applyAlignment="1" applyProtection="1">
      <alignment horizontal="center" vertical="center"/>
    </xf>
    <xf numFmtId="0" fontId="40" fillId="23" borderId="12" xfId="0" applyFont="1" applyFill="1" applyBorder="1" applyAlignment="1" applyProtection="1">
      <alignment horizontal="center" vertical="center"/>
    </xf>
    <xf numFmtId="0" fontId="40" fillId="23" borderId="22" xfId="0" applyFont="1" applyFill="1" applyBorder="1" applyAlignment="1" applyProtection="1">
      <alignment horizontal="center" vertical="center"/>
    </xf>
    <xf numFmtId="0" fontId="40" fillId="23" borderId="23" xfId="0" applyFont="1" applyFill="1" applyBorder="1" applyAlignment="1" applyProtection="1">
      <alignment horizontal="center" vertical="center"/>
    </xf>
    <xf numFmtId="0" fontId="37" fillId="30" borderId="61" xfId="0" applyFont="1" applyFill="1" applyBorder="1" applyAlignment="1" applyProtection="1">
      <alignment horizontal="left" vertical="center"/>
    </xf>
    <xf numFmtId="0" fontId="37" fillId="30" borderId="62" xfId="0" applyFont="1" applyFill="1" applyBorder="1" applyAlignment="1" applyProtection="1">
      <alignment horizontal="left" vertical="center"/>
    </xf>
    <xf numFmtId="0" fontId="48" fillId="0" borderId="35" xfId="0" applyFont="1" applyFill="1" applyBorder="1" applyAlignment="1" applyProtection="1">
      <alignment horizontal="center" vertical="center"/>
    </xf>
    <xf numFmtId="0" fontId="48" fillId="0" borderId="36" xfId="0" applyFont="1" applyFill="1" applyBorder="1" applyAlignment="1" applyProtection="1">
      <alignment horizontal="center" vertical="center"/>
    </xf>
    <xf numFmtId="0" fontId="48" fillId="0" borderId="37" xfId="0" applyFont="1" applyFill="1" applyBorder="1" applyAlignment="1" applyProtection="1">
      <alignment horizontal="center" vertical="center"/>
    </xf>
    <xf numFmtId="0" fontId="48" fillId="0" borderId="26" xfId="0" applyFont="1" applyFill="1" applyBorder="1" applyAlignment="1" applyProtection="1">
      <alignment horizontal="center" vertical="center"/>
    </xf>
    <xf numFmtId="0" fontId="48" fillId="0" borderId="27" xfId="0" applyFont="1" applyFill="1" applyBorder="1" applyAlignment="1" applyProtection="1">
      <alignment horizontal="center" vertical="center"/>
    </xf>
    <xf numFmtId="0" fontId="48" fillId="0" borderId="28" xfId="0" applyFont="1" applyFill="1" applyBorder="1" applyAlignment="1" applyProtection="1">
      <alignment horizontal="center" vertical="center"/>
    </xf>
    <xf numFmtId="0" fontId="37" fillId="30" borderId="35" xfId="0" applyFont="1" applyFill="1" applyBorder="1" applyAlignment="1" applyProtection="1">
      <alignment horizontal="left" vertical="center"/>
    </xf>
    <xf numFmtId="0" fontId="37" fillId="30" borderId="36" xfId="0" applyFont="1" applyFill="1" applyBorder="1" applyAlignment="1" applyProtection="1">
      <alignment horizontal="left" vertical="center"/>
    </xf>
    <xf numFmtId="0" fontId="37" fillId="30" borderId="37" xfId="0" applyFont="1" applyFill="1" applyBorder="1" applyAlignment="1" applyProtection="1">
      <alignment horizontal="left" vertical="center"/>
    </xf>
    <xf numFmtId="0" fontId="37" fillId="30" borderId="27" xfId="0" applyFont="1" applyFill="1" applyBorder="1" applyAlignment="1" applyProtection="1">
      <alignment horizontal="left" vertical="center"/>
    </xf>
    <xf numFmtId="0" fontId="37" fillId="30" borderId="28" xfId="0" applyFont="1" applyFill="1" applyBorder="1" applyAlignment="1" applyProtection="1">
      <alignment horizontal="left" vertical="center"/>
    </xf>
    <xf numFmtId="0" fontId="36" fillId="0" borderId="12" xfId="0" applyFont="1" applyBorder="1" applyAlignment="1" applyProtection="1">
      <alignment horizontal="center"/>
    </xf>
    <xf numFmtId="0" fontId="36" fillId="0" borderId="23" xfId="0" applyFont="1" applyBorder="1" applyAlignment="1" applyProtection="1">
      <alignment horizontal="center"/>
    </xf>
    <xf numFmtId="49" fontId="38" fillId="0" borderId="12" xfId="0" applyNumberFormat="1" applyFont="1" applyBorder="1" applyAlignment="1" applyProtection="1">
      <alignment horizontal="center" vertical="center" wrapText="1"/>
    </xf>
    <xf numFmtId="49" fontId="38" fillId="0" borderId="23" xfId="0" applyNumberFormat="1" applyFont="1" applyBorder="1" applyAlignment="1" applyProtection="1">
      <alignment horizontal="center" vertical="center" wrapText="1"/>
    </xf>
  </cellXfs>
  <cellStyles count="42">
    <cellStyle name="20% - Énfasis1" xfId="1"/>
    <cellStyle name="20% - Énfasis2" xfId="2"/>
    <cellStyle name="20% - Énfasis3" xfId="3"/>
    <cellStyle name="20% - Énfasis4" xfId="4"/>
    <cellStyle name="20% - Énfasis5" xfId="5"/>
    <cellStyle name="20% - Énfasis6" xfId="6"/>
    <cellStyle name="40% - Énfasis1" xfId="7"/>
    <cellStyle name="40% - Énfasis2" xfId="8"/>
    <cellStyle name="40% - Énfasis3" xfId="9"/>
    <cellStyle name="40% - Énfasis4" xfId="10"/>
    <cellStyle name="40% - Énfasis5" xfId="11"/>
    <cellStyle name="40% - Énfasis6" xfId="12"/>
    <cellStyle name="60% - Énfasis1" xfId="13"/>
    <cellStyle name="60% - Énfasis2" xfId="14"/>
    <cellStyle name="60% - Énfasis3" xfId="15"/>
    <cellStyle name="60% - Énfasis4" xfId="16"/>
    <cellStyle name="60% - Énfasis5" xfId="17"/>
    <cellStyle name="60% - Énfasis6" xfId="18"/>
    <cellStyle name="Buena" xfId="19"/>
    <cellStyle name="Cálculo" xfId="20"/>
    <cellStyle name="Celda de comprobación" xfId="21"/>
    <cellStyle name="Celda vinculada" xfId="22"/>
    <cellStyle name="Encabezado 1" xfId="23"/>
    <cellStyle name="Encabezado 4" xfId="24"/>
    <cellStyle name="Énfasis1" xfId="25"/>
    <cellStyle name="Énfasis2" xfId="26"/>
    <cellStyle name="Énfasis3" xfId="27"/>
    <cellStyle name="Énfasis4" xfId="28"/>
    <cellStyle name="Énfasis5" xfId="29"/>
    <cellStyle name="Énfasis6" xfId="30"/>
    <cellStyle name="Entrada" xfId="31"/>
    <cellStyle name="Incorrecto" xfId="32"/>
    <cellStyle name="Normal" xfId="0" builtinId="0"/>
    <cellStyle name="Notas" xfId="33"/>
    <cellStyle name="Porcentaje" xfId="34" builtinId="5"/>
    <cellStyle name="Salida" xfId="35"/>
    <cellStyle name="Texto de advertencia" xfId="36"/>
    <cellStyle name="Texto explicativo" xfId="37"/>
    <cellStyle name="Título" xfId="38"/>
    <cellStyle name="Título 1" xfId="39"/>
    <cellStyle name="Título 2" xfId="40"/>
    <cellStyle name="Título 3" xfId="41"/>
  </cellStyles>
  <dxfs count="0"/>
  <tableStyles count="0" defaultTableStyle="TableStyleMedium2" defaultPivotStyle="PivotStyleLight16"/>
  <colors>
    <mruColors>
      <color rgb="FF003B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s-E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</a:t>
            </a:r>
            <a:r>
              <a:rPr lang="en-US" baseline="0"/>
              <a:t> de cumplimiento</a:t>
            </a:r>
            <a:endParaRPr lang="en-US"/>
          </a:p>
        </c:rich>
      </c:tx>
      <c:layout>
        <c:manualLayout>
          <c:xMode val="edge"/>
          <c:yMode val="edge"/>
          <c:x val="0.32629856657441436"/>
          <c:y val="8.313880222397787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2569377333610091"/>
          <c:y val="0.23086133763012767"/>
          <c:w val="0.82718734237971669"/>
          <c:h val="0.583216614667719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'Indicador AÑO 2020'!$L$20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'Indicador AÑO 2020'!$M$19:$Q$19</c:f>
              <c:strCache>
                <c:ptCount val="5"/>
                <c:pt idx="0">
                  <c:v>Oferta programada</c:v>
                </c:pt>
                <c:pt idx="2">
                  <c:v>Oferta no ejecutada</c:v>
                </c:pt>
                <c:pt idx="4">
                  <c:v>Oferta Extraordinaria</c:v>
                </c:pt>
              </c:strCache>
            </c:strRef>
          </c:cat>
          <c:val>
            <c:numRef>
              <c:f>'Indicador AÑO 2020'!$M$20:$Q$20</c:f>
              <c:numCache>
                <c:formatCode>General</c:formatCode>
                <c:ptCount val="5"/>
                <c:pt idx="0">
                  <c:v>314</c:v>
                </c:pt>
                <c:pt idx="2">
                  <c:v>152</c:v>
                </c:pt>
                <c:pt idx="4">
                  <c:v>119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8207160"/>
        <c:axId val="458202456"/>
      </c:barChart>
      <c:catAx>
        <c:axId val="458207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458202456"/>
        <c:crosses val="autoZero"/>
        <c:auto val="1"/>
        <c:lblAlgn val="ctr"/>
        <c:lblOffset val="100"/>
        <c:noMultiLvlLbl val="0"/>
      </c:catAx>
      <c:valAx>
        <c:axId val="458202456"/>
        <c:scaling>
          <c:orientation val="minMax"/>
          <c:max val="350"/>
          <c:min val="7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s-E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CANTIDAD</a:t>
                </a:r>
              </a:p>
            </c:rich>
          </c:tx>
          <c:layout>
            <c:manualLayout>
              <c:xMode val="edge"/>
              <c:yMode val="edge"/>
              <c:x val="2.6894865525672391E-2"/>
              <c:y val="0.43455021283116785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_);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458207160"/>
        <c:crosses val="autoZero"/>
        <c:crossBetween val="between"/>
        <c:majorUnit val="25"/>
        <c:minorUnit val="1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GT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s-ES" sz="14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s-GT"/>
              <a:t>Porcentaje de cumplimiento</a:t>
            </a:r>
          </a:p>
        </c:rich>
      </c:tx>
      <c:layout>
        <c:manualLayout>
          <c:xMode val="edge"/>
          <c:yMode val="edge"/>
          <c:x val="0.32293577981651411"/>
          <c:y val="3.1830238726790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296245825745548"/>
          <c:y val="0.17257543207057041"/>
          <c:w val="0.8515609049471522"/>
          <c:h val="0.59737649562889761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</c:extLst>
        </c:ser>
        <c:ser>
          <c:idx val="2"/>
          <c:order val="1"/>
          <c:spPr>
            <a:ln w="25400">
              <a:solidFill>
                <a:srgbClr val="FF00FF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8200888"/>
        <c:axId val="458209904"/>
      </c:lineChart>
      <c:catAx>
        <c:axId val="458200888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lang="es-ES"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s-GT"/>
          </a:p>
        </c:txPr>
        <c:crossAx val="45820990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5820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458200888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9.3577981651376207E-2"/>
          <c:y val="0.91777188328912562"/>
          <c:w val="0.79082568807339526"/>
          <c:h val="5.8355437665782502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lang="es-E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GT"/>
    </a:p>
  </c:txPr>
  <c:printSettings>
    <c:headerFooter/>
    <c:pageMargins b="0.75000000000000266" l="0.70000000000000062" r="0.70000000000000062" t="0.75000000000000266" header="0.30000000000000032" footer="0.30000000000000032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s-ES" sz="20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s-GT" sz="2000"/>
              <a:t>Porcentaje</a:t>
            </a:r>
            <a:r>
              <a:rPr lang="es-GT" sz="2000" baseline="0"/>
              <a:t> de Cumplimiento</a:t>
            </a:r>
            <a:endParaRPr lang="es-GT" sz="2000"/>
          </a:p>
        </c:rich>
      </c:tx>
      <c:layout>
        <c:manualLayout>
          <c:xMode val="edge"/>
          <c:yMode val="edge"/>
          <c:x val="0.21324658000930871"/>
          <c:y val="4.544437384276598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296245825745546"/>
          <c:y val="0.17257543207057041"/>
          <c:w val="0.8418106877408148"/>
          <c:h val="0.52590234438962769"/>
        </c:manualLayout>
      </c:layout>
      <c:lineChart>
        <c:grouping val="standard"/>
        <c:varyColors val="0"/>
        <c:ser>
          <c:idx val="0"/>
          <c:order val="0"/>
          <c:tx>
            <c:strRef>
              <c:f>'INDICADOR EEJ'!$R$17</c:f>
              <c:strCache>
                <c:ptCount val="1"/>
                <c:pt idx="0">
                  <c:v>Cumplimiento  (%)</c:v>
                </c:pt>
              </c:strCache>
            </c:strRef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'INDICADOR EEJ'!$K$18:$L$23</c:f>
              <c:strCache>
                <c:ptCount val="6"/>
                <c:pt idx="0">
                  <c:v>Ene/Feb 2024</c:v>
                </c:pt>
                <c:pt idx="1">
                  <c:v>Mar/Abr 2024</c:v>
                </c:pt>
                <c:pt idx="2">
                  <c:v>May/ Jun 2024</c:v>
                </c:pt>
                <c:pt idx="3">
                  <c:v>Jul/Ago 2024</c:v>
                </c:pt>
                <c:pt idx="4">
                  <c:v>Sep/Oct 2024</c:v>
                </c:pt>
                <c:pt idx="5">
                  <c:v>Nov /Dic 2024</c:v>
                </c:pt>
              </c:strCache>
            </c:strRef>
          </c:cat>
          <c:val>
            <c:numRef>
              <c:f>'INDICADOR EEJ'!$R$18:$R$23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</c:ser>
        <c:ser>
          <c:idx val="2"/>
          <c:order val="1"/>
          <c:tx>
            <c:strRef>
              <c:f>'INDICADOR EEJ'!$S$17</c:f>
              <c:strCache>
                <c:ptCount val="1"/>
                <c:pt idx="0">
                  <c:v>Meta</c:v>
                </c:pt>
              </c:strCache>
            </c:strRef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strRef>
              <c:f>'INDICADOR EEJ'!$K$18:$L$23</c:f>
              <c:strCache>
                <c:ptCount val="6"/>
                <c:pt idx="0">
                  <c:v>Ene/Feb 2024</c:v>
                </c:pt>
                <c:pt idx="1">
                  <c:v>Mar/Abr 2024</c:v>
                </c:pt>
                <c:pt idx="2">
                  <c:v>May/ Jun 2024</c:v>
                </c:pt>
                <c:pt idx="3">
                  <c:v>Jul/Ago 2024</c:v>
                </c:pt>
                <c:pt idx="4">
                  <c:v>Sep/Oct 2024</c:v>
                </c:pt>
                <c:pt idx="5">
                  <c:v>Nov /Dic 2024</c:v>
                </c:pt>
              </c:strCache>
            </c:strRef>
          </c:cat>
          <c:val>
            <c:numRef>
              <c:f>'INDICADOR EEJ'!$S$18:$S$23</c:f>
              <c:numCache>
                <c:formatCode>0%</c:formatCode>
                <c:ptCount val="6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8203632"/>
        <c:axId val="458209120"/>
      </c:lineChart>
      <c:catAx>
        <c:axId val="458203632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lang="es-ES"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s-GT"/>
          </a:p>
        </c:txPr>
        <c:crossAx val="45820912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5820912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458203632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9.3577981651376207E-2"/>
          <c:y val="0.91777188328912518"/>
          <c:w val="0.79082568807339504"/>
          <c:h val="5.8355437665782502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lang="es-ES"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GT"/>
    </a:p>
  </c:txPr>
  <c:printSettings>
    <c:headerFooter alignWithMargins="0"/>
    <c:pageMargins b="0.75000000000000433" l="0.70000000000000062" r="0.70000000000000062" t="0.75000000000000433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</xdr:col>
      <xdr:colOff>981075</xdr:colOff>
      <xdr:row>5</xdr:row>
      <xdr:rowOff>76200</xdr:rowOff>
    </xdr:to>
    <xdr:pic>
      <xdr:nvPicPr>
        <xdr:cNvPr id="3" name="Imagen 2" descr="logotipo OJ en blanco y negro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3825" y="0"/>
          <a:ext cx="981075" cy="1047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100851</xdr:colOff>
      <xdr:row>18</xdr:row>
      <xdr:rowOff>12325</xdr:rowOff>
    </xdr:from>
    <xdr:to>
      <xdr:col>9</xdr:col>
      <xdr:colOff>246528</xdr:colOff>
      <xdr:row>33</xdr:row>
      <xdr:rowOff>56029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17</xdr:row>
      <xdr:rowOff>9525</xdr:rowOff>
    </xdr:from>
    <xdr:to>
      <xdr:col>9</xdr:col>
      <xdr:colOff>314325</xdr:colOff>
      <xdr:row>33</xdr:row>
      <xdr:rowOff>180975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0</xdr:row>
      <xdr:rowOff>0</xdr:rowOff>
    </xdr:from>
    <xdr:to>
      <xdr:col>1</xdr:col>
      <xdr:colOff>981075</xdr:colOff>
      <xdr:row>5</xdr:row>
      <xdr:rowOff>76200</xdr:rowOff>
    </xdr:to>
    <xdr:pic>
      <xdr:nvPicPr>
        <xdr:cNvPr id="3" name="Imagen 2" descr="logotipo OJ en blanco y negro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23825" y="0"/>
          <a:ext cx="981075" cy="990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15</xdr:row>
      <xdr:rowOff>9525</xdr:rowOff>
    </xdr:from>
    <xdr:to>
      <xdr:col>9</xdr:col>
      <xdr:colOff>493059</xdr:colOff>
      <xdr:row>31</xdr:row>
      <xdr:rowOff>190500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78441</xdr:colOff>
      <xdr:row>0</xdr:row>
      <xdr:rowOff>78441</xdr:rowOff>
    </xdr:from>
    <xdr:to>
      <xdr:col>11</xdr:col>
      <xdr:colOff>9525</xdr:colOff>
      <xdr:row>0</xdr:row>
      <xdr:rowOff>1192866</xdr:rowOff>
    </xdr:to>
    <xdr:pic>
      <xdr:nvPicPr>
        <xdr:cNvPr id="4" name="Imagen 1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7770"/>
        <a:stretch>
          <a:fillRect/>
        </a:stretch>
      </xdr:blipFill>
      <xdr:spPr bwMode="auto">
        <a:xfrm>
          <a:off x="5143500" y="78441"/>
          <a:ext cx="1152525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60"/>
  <sheetViews>
    <sheetView view="pageBreakPreview" topLeftCell="B19" zoomScale="85" zoomScaleNormal="70" zoomScaleSheetLayoutView="85" workbookViewId="0">
      <selection activeCell="X25" sqref="X25"/>
    </sheetView>
  </sheetViews>
  <sheetFormatPr baseColWidth="10" defaultColWidth="11.42578125" defaultRowHeight="15" x14ac:dyDescent="0.25"/>
  <cols>
    <col min="1" max="1" width="1.85546875" style="1" customWidth="1"/>
    <col min="2" max="2" width="25" style="1" customWidth="1"/>
    <col min="3" max="3" width="3.28515625" style="1" customWidth="1"/>
    <col min="4" max="9" width="7.42578125" style="1" customWidth="1"/>
    <col min="10" max="10" width="5.85546875" style="1" bestFit="1" customWidth="1"/>
    <col min="11" max="12" width="7.42578125" style="1" customWidth="1"/>
    <col min="13" max="14" width="7.140625" style="1" customWidth="1"/>
    <col min="15" max="15" width="7.42578125" style="1" customWidth="1"/>
    <col min="16" max="16" width="5.7109375" style="1" customWidth="1"/>
    <col min="17" max="17" width="13.7109375" style="1" customWidth="1"/>
    <col min="18" max="18" width="14.5703125" style="1" customWidth="1"/>
    <col min="19" max="19" width="12.140625" style="1" customWidth="1"/>
    <col min="20" max="20" width="3.7109375" style="1" customWidth="1"/>
    <col min="21" max="16384" width="11.42578125" style="1"/>
  </cols>
  <sheetData>
    <row r="1" spans="2:21" x14ac:dyDescent="0.25">
      <c r="B1" s="146" t="s">
        <v>4</v>
      </c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</row>
    <row r="2" spans="2:21" ht="15.75" thickBot="1" x14ac:dyDescent="0.3"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3"/>
    </row>
    <row r="3" spans="2:21" ht="22.5" customHeight="1" x14ac:dyDescent="0.25">
      <c r="B3" s="148" t="s">
        <v>6</v>
      </c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3"/>
    </row>
    <row r="4" spans="2:21" ht="6.75" customHeight="1" x14ac:dyDescent="0.25">
      <c r="B4" s="149"/>
      <c r="C4" s="149"/>
      <c r="D4" s="149"/>
      <c r="E4" s="149"/>
      <c r="F4" s="149"/>
      <c r="G4" s="149"/>
      <c r="H4" s="149"/>
      <c r="I4" s="149"/>
      <c r="J4" s="149"/>
      <c r="K4" s="149"/>
      <c r="L4" s="149"/>
      <c r="M4" s="149"/>
      <c r="N4" s="149"/>
      <c r="O4" s="149"/>
      <c r="P4" s="149"/>
      <c r="Q4" s="149"/>
      <c r="R4" s="149"/>
      <c r="S4" s="149"/>
      <c r="T4" s="3"/>
    </row>
    <row r="5" spans="2:21" ht="16.5" thickBot="1" x14ac:dyDescent="0.3">
      <c r="B5" s="150" t="s">
        <v>24</v>
      </c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3"/>
    </row>
    <row r="6" spans="2:21" ht="15.75" thickBot="1" x14ac:dyDescent="0.3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2:21" x14ac:dyDescent="0.25">
      <c r="B7" s="151" t="s">
        <v>3</v>
      </c>
      <c r="C7" s="152"/>
      <c r="D7" s="152"/>
      <c r="E7" s="152"/>
      <c r="F7" s="152"/>
      <c r="G7" s="152"/>
      <c r="H7" s="152"/>
      <c r="I7" s="152"/>
      <c r="J7" s="152"/>
      <c r="K7" s="152"/>
      <c r="L7" s="152"/>
      <c r="M7" s="152"/>
      <c r="N7" s="152"/>
      <c r="O7" s="152"/>
      <c r="P7" s="152"/>
      <c r="Q7" s="152"/>
      <c r="R7" s="152"/>
      <c r="S7" s="153"/>
    </row>
    <row r="8" spans="2:21" x14ac:dyDescent="0.25">
      <c r="B8" s="154"/>
      <c r="C8" s="155"/>
      <c r="D8" s="155"/>
      <c r="E8" s="155"/>
      <c r="F8" s="155"/>
      <c r="G8" s="155"/>
      <c r="H8" s="155"/>
      <c r="I8" s="155"/>
      <c r="J8" s="155"/>
      <c r="K8" s="155"/>
      <c r="L8" s="155"/>
      <c r="M8" s="155"/>
      <c r="N8" s="155"/>
      <c r="O8" s="155"/>
      <c r="P8" s="155"/>
      <c r="Q8" s="155"/>
      <c r="R8" s="155"/>
      <c r="S8" s="156"/>
    </row>
    <row r="9" spans="2:21" ht="15.75" thickBot="1" x14ac:dyDescent="0.3">
      <c r="B9" s="157"/>
      <c r="C9" s="158"/>
      <c r="D9" s="158"/>
      <c r="E9" s="158"/>
      <c r="F9" s="158"/>
      <c r="G9" s="158"/>
      <c r="H9" s="158"/>
      <c r="I9" s="158"/>
      <c r="J9" s="158"/>
      <c r="K9" s="158"/>
      <c r="L9" s="158"/>
      <c r="M9" s="158"/>
      <c r="N9" s="158"/>
      <c r="O9" s="158"/>
      <c r="P9" s="158"/>
      <c r="Q9" s="158"/>
      <c r="R9" s="158"/>
      <c r="S9" s="159"/>
    </row>
    <row r="10" spans="2:21" ht="15.75" thickBot="1" x14ac:dyDescent="0.3">
      <c r="B10" s="5"/>
      <c r="C10" s="5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4"/>
      <c r="U10" s="4"/>
    </row>
    <row r="11" spans="2:21" ht="30" customHeight="1" thickBot="1" x14ac:dyDescent="0.3">
      <c r="B11" s="26" t="s">
        <v>7</v>
      </c>
      <c r="C11" s="140" t="s">
        <v>33</v>
      </c>
      <c r="D11" s="141"/>
      <c r="E11" s="141"/>
      <c r="F11" s="141"/>
      <c r="G11" s="141"/>
      <c r="H11" s="141"/>
      <c r="I11" s="141"/>
      <c r="J11" s="142"/>
      <c r="K11" s="22" t="s">
        <v>12</v>
      </c>
      <c r="L11" s="23"/>
      <c r="M11" s="24"/>
      <c r="N11" s="25"/>
      <c r="O11" s="25"/>
      <c r="P11" s="143" t="s">
        <v>36</v>
      </c>
      <c r="Q11" s="144"/>
      <c r="R11" s="144"/>
      <c r="S11" s="145"/>
      <c r="T11" s="4"/>
      <c r="U11" s="4"/>
    </row>
    <row r="12" spans="2:21" ht="28.5" customHeight="1" thickBot="1" x14ac:dyDescent="0.3">
      <c r="B12" s="26" t="s">
        <v>9</v>
      </c>
      <c r="C12" s="125" t="s">
        <v>34</v>
      </c>
      <c r="D12" s="126"/>
      <c r="E12" s="126"/>
      <c r="F12" s="126"/>
      <c r="G12" s="126"/>
      <c r="H12" s="126"/>
      <c r="I12" s="126"/>
      <c r="J12" s="127"/>
      <c r="K12" s="22" t="s">
        <v>11</v>
      </c>
      <c r="L12" s="23"/>
      <c r="M12" s="24"/>
      <c r="N12" s="25"/>
      <c r="O12" s="25"/>
      <c r="P12" s="128" t="s">
        <v>35</v>
      </c>
      <c r="Q12" s="129"/>
      <c r="R12" s="129"/>
      <c r="S12" s="130"/>
      <c r="T12" s="131"/>
      <c r="U12" s="4"/>
    </row>
    <row r="13" spans="2:21" ht="88.5" customHeight="1" thickBot="1" x14ac:dyDescent="0.3">
      <c r="B13" s="26" t="s">
        <v>14</v>
      </c>
      <c r="C13" s="128" t="s">
        <v>35</v>
      </c>
      <c r="D13" s="129"/>
      <c r="E13" s="129"/>
      <c r="F13" s="129"/>
      <c r="G13" s="129"/>
      <c r="H13" s="129"/>
      <c r="I13" s="129"/>
      <c r="J13" s="130"/>
      <c r="K13" s="132" t="s">
        <v>8</v>
      </c>
      <c r="L13" s="132"/>
      <c r="M13" s="132"/>
      <c r="N13" s="132"/>
      <c r="O13" s="132"/>
      <c r="P13" s="133" t="s">
        <v>35</v>
      </c>
      <c r="Q13" s="134"/>
      <c r="R13" s="134"/>
      <c r="S13" s="135"/>
      <c r="T13" s="131"/>
      <c r="U13" s="4"/>
    </row>
    <row r="14" spans="2:21" ht="44.25" customHeight="1" thickBot="1" x14ac:dyDescent="0.3">
      <c r="B14" s="27" t="s">
        <v>10</v>
      </c>
      <c r="C14" s="128" t="s">
        <v>37</v>
      </c>
      <c r="D14" s="129"/>
      <c r="E14" s="129"/>
      <c r="F14" s="129"/>
      <c r="G14" s="129"/>
      <c r="H14" s="129"/>
      <c r="I14" s="129"/>
      <c r="J14" s="130"/>
      <c r="K14" s="136" t="s">
        <v>13</v>
      </c>
      <c r="L14" s="136"/>
      <c r="M14" s="136"/>
      <c r="N14" s="136"/>
      <c r="O14" s="136"/>
      <c r="P14" s="137" t="s">
        <v>26</v>
      </c>
      <c r="Q14" s="138"/>
      <c r="R14" s="138"/>
      <c r="S14" s="139"/>
      <c r="T14" s="131"/>
      <c r="U14" s="4"/>
    </row>
    <row r="15" spans="2:21" ht="15" customHeight="1" x14ac:dyDescent="0.25">
      <c r="B15" s="99" t="s">
        <v>15</v>
      </c>
      <c r="C15" s="101" t="s">
        <v>32</v>
      </c>
      <c r="D15" s="102"/>
      <c r="E15" s="102"/>
      <c r="F15" s="102"/>
      <c r="G15" s="102"/>
      <c r="H15" s="102"/>
      <c r="I15" s="102"/>
      <c r="J15" s="103"/>
      <c r="K15" s="107" t="s">
        <v>16</v>
      </c>
      <c r="L15" s="108"/>
      <c r="M15" s="108"/>
      <c r="N15" s="108"/>
      <c r="O15" s="109"/>
      <c r="P15" s="110" t="s">
        <v>38</v>
      </c>
      <c r="Q15" s="111"/>
      <c r="R15" s="111"/>
      <c r="S15" s="112"/>
      <c r="T15" s="131"/>
      <c r="U15" s="4"/>
    </row>
    <row r="16" spans="2:21" ht="15" customHeight="1" thickBot="1" x14ac:dyDescent="0.3">
      <c r="B16" s="100"/>
      <c r="C16" s="104"/>
      <c r="D16" s="105"/>
      <c r="E16" s="105"/>
      <c r="F16" s="105"/>
      <c r="G16" s="105"/>
      <c r="H16" s="105"/>
      <c r="I16" s="105"/>
      <c r="J16" s="106"/>
      <c r="K16" s="113" t="s">
        <v>17</v>
      </c>
      <c r="L16" s="114"/>
      <c r="M16" s="114"/>
      <c r="N16" s="114"/>
      <c r="O16" s="115"/>
      <c r="P16" s="116" t="s">
        <v>38</v>
      </c>
      <c r="Q16" s="117"/>
      <c r="R16" s="117"/>
      <c r="S16" s="118"/>
      <c r="T16" s="131"/>
      <c r="U16" s="4"/>
    </row>
    <row r="17" spans="1:23" ht="15.75" thickBot="1" x14ac:dyDescent="0.3">
      <c r="B17" s="7"/>
      <c r="C17" s="7"/>
      <c r="D17" s="8"/>
      <c r="E17" s="8"/>
      <c r="F17" s="8"/>
      <c r="G17" s="8"/>
      <c r="H17" s="8"/>
      <c r="I17" s="8"/>
      <c r="J17" s="7"/>
      <c r="K17" s="7"/>
      <c r="L17" s="7"/>
      <c r="M17" s="8"/>
      <c r="N17" s="8"/>
      <c r="O17" s="8"/>
      <c r="P17" s="8"/>
      <c r="Q17" s="8"/>
      <c r="R17" s="8"/>
      <c r="S17" s="8"/>
      <c r="T17" s="131"/>
      <c r="U17" s="4"/>
    </row>
    <row r="18" spans="1:23" ht="18.75" customHeight="1" thickBot="1" x14ac:dyDescent="0.3">
      <c r="A18" s="2"/>
      <c r="B18" s="9"/>
      <c r="C18" s="9"/>
      <c r="D18" s="122"/>
      <c r="E18" s="122"/>
      <c r="F18" s="9"/>
      <c r="G18" s="9"/>
      <c r="H18" s="9"/>
      <c r="I18" s="9"/>
      <c r="J18" s="10"/>
      <c r="K18" s="119" t="s">
        <v>25</v>
      </c>
      <c r="L18" s="120"/>
      <c r="M18" s="120"/>
      <c r="N18" s="120"/>
      <c r="O18" s="120"/>
      <c r="P18" s="120"/>
      <c r="Q18" s="120"/>
      <c r="R18" s="120"/>
      <c r="S18" s="121"/>
      <c r="T18" s="131"/>
      <c r="U18" s="14"/>
      <c r="V18" s="3"/>
    </row>
    <row r="19" spans="1:23" ht="50.25" customHeight="1" x14ac:dyDescent="0.25">
      <c r="A19" s="2"/>
      <c r="B19" s="122" t="s">
        <v>2</v>
      </c>
      <c r="C19" s="122"/>
      <c r="D19" s="122"/>
      <c r="E19" s="122"/>
      <c r="F19" s="122"/>
      <c r="G19" s="122"/>
      <c r="H19" s="122"/>
      <c r="I19" s="122"/>
      <c r="J19" s="11"/>
      <c r="K19" s="123" t="s">
        <v>18</v>
      </c>
      <c r="L19" s="124"/>
      <c r="M19" s="123" t="s">
        <v>29</v>
      </c>
      <c r="N19" s="124"/>
      <c r="O19" s="123" t="s">
        <v>30</v>
      </c>
      <c r="P19" s="124"/>
      <c r="Q19" s="30" t="s">
        <v>31</v>
      </c>
      <c r="R19" s="30" t="s">
        <v>1</v>
      </c>
      <c r="S19" s="21" t="s">
        <v>5</v>
      </c>
      <c r="T19" s="17"/>
      <c r="U19" s="17"/>
      <c r="V19" s="3"/>
    </row>
    <row r="20" spans="1:23" ht="15" customHeight="1" x14ac:dyDescent="0.25">
      <c r="A20" s="2"/>
      <c r="B20" s="9"/>
      <c r="C20" s="9"/>
      <c r="D20" s="9"/>
      <c r="E20" s="9"/>
      <c r="F20" s="9"/>
      <c r="G20" s="9"/>
      <c r="H20" s="9"/>
      <c r="I20" s="9"/>
      <c r="J20" s="12"/>
      <c r="K20" s="97" t="s">
        <v>36</v>
      </c>
      <c r="L20" s="98"/>
      <c r="M20" s="92">
        <v>314</v>
      </c>
      <c r="N20" s="93"/>
      <c r="O20" s="92">
        <v>152</v>
      </c>
      <c r="P20" s="93"/>
      <c r="Q20" s="32">
        <v>119</v>
      </c>
      <c r="R20" s="33">
        <f>IF(M20&gt;0,(M20-O20+Q20)/M20,0)</f>
        <v>0.89490445859872614</v>
      </c>
      <c r="S20" s="34">
        <v>0.8</v>
      </c>
      <c r="T20" s="13"/>
      <c r="U20" s="13">
        <f>M20-O20</f>
        <v>162</v>
      </c>
      <c r="V20" s="3"/>
      <c r="W20" s="29"/>
    </row>
    <row r="21" spans="1:23" ht="15" customHeight="1" x14ac:dyDescent="0.25">
      <c r="A21" s="2"/>
      <c r="B21" s="9"/>
      <c r="C21" s="9"/>
      <c r="D21" s="9"/>
      <c r="E21" s="9"/>
      <c r="F21" s="9"/>
      <c r="G21" s="9"/>
      <c r="H21" s="9"/>
      <c r="I21" s="9"/>
      <c r="J21" s="12"/>
      <c r="K21" s="97" t="s">
        <v>40</v>
      </c>
      <c r="L21" s="98"/>
      <c r="M21" s="92">
        <v>100</v>
      </c>
      <c r="N21" s="93"/>
      <c r="O21" s="92">
        <v>50</v>
      </c>
      <c r="P21" s="93"/>
      <c r="Q21" s="36">
        <v>50</v>
      </c>
      <c r="R21" s="33">
        <f>IF(M21&gt;0,(M21-O21+Q21)/M21,0)</f>
        <v>1</v>
      </c>
      <c r="S21" s="34">
        <v>0.8</v>
      </c>
      <c r="T21" s="13"/>
      <c r="U21" s="13"/>
      <c r="V21" s="3"/>
      <c r="W21" s="29"/>
    </row>
    <row r="22" spans="1:23" x14ac:dyDescent="0.25">
      <c r="A22" s="2"/>
      <c r="B22" s="9"/>
      <c r="C22" s="9"/>
      <c r="D22" s="9"/>
      <c r="E22" s="9"/>
      <c r="F22" s="9"/>
      <c r="G22" s="9"/>
      <c r="H22" s="9"/>
      <c r="I22" s="9"/>
      <c r="J22" s="12"/>
      <c r="K22" s="92"/>
      <c r="L22" s="93"/>
      <c r="M22" s="92"/>
      <c r="N22" s="93"/>
      <c r="O22" s="92"/>
      <c r="P22" s="93"/>
      <c r="Q22" s="36"/>
      <c r="R22" s="33"/>
      <c r="S22" s="34"/>
      <c r="T22" s="13"/>
      <c r="U22" s="28"/>
      <c r="V22" s="28"/>
      <c r="W22" s="29"/>
    </row>
    <row r="23" spans="1:23" x14ac:dyDescent="0.25">
      <c r="A23" s="2"/>
      <c r="B23" s="9"/>
      <c r="C23" s="9"/>
      <c r="D23" s="9"/>
      <c r="E23" s="9"/>
      <c r="F23" s="9"/>
      <c r="G23" s="9"/>
      <c r="H23" s="9"/>
      <c r="I23" s="9"/>
      <c r="J23" s="12"/>
      <c r="K23" s="92"/>
      <c r="L23" s="93"/>
      <c r="M23" s="92"/>
      <c r="N23" s="93"/>
      <c r="O23" s="92"/>
      <c r="P23" s="93"/>
      <c r="Q23" s="36"/>
      <c r="R23" s="33"/>
      <c r="S23" s="34"/>
      <c r="T23" s="13"/>
      <c r="U23" s="13"/>
      <c r="V23" s="13"/>
      <c r="W23" s="29"/>
    </row>
    <row r="24" spans="1:23" x14ac:dyDescent="0.25">
      <c r="A24" s="2"/>
      <c r="B24" s="9"/>
      <c r="C24" s="9"/>
      <c r="D24" s="9"/>
      <c r="E24" s="9"/>
      <c r="F24" s="9"/>
      <c r="G24" s="9"/>
      <c r="H24" s="9"/>
      <c r="I24" s="9"/>
      <c r="J24" s="12"/>
      <c r="K24" s="92"/>
      <c r="L24" s="93"/>
      <c r="M24" s="92"/>
      <c r="N24" s="93"/>
      <c r="O24" s="92"/>
      <c r="P24" s="93"/>
      <c r="Q24" s="36"/>
      <c r="R24" s="33"/>
      <c r="S24" s="34"/>
      <c r="T24" s="13"/>
      <c r="U24" s="13"/>
      <c r="V24" s="13"/>
      <c r="W24" s="29"/>
    </row>
    <row r="25" spans="1:23" x14ac:dyDescent="0.25">
      <c r="A25" s="2"/>
      <c r="B25" s="9"/>
      <c r="C25" s="9"/>
      <c r="D25" s="9"/>
      <c r="E25" s="9"/>
      <c r="F25" s="9"/>
      <c r="G25" s="9"/>
      <c r="H25" s="9"/>
      <c r="I25" s="9"/>
      <c r="J25" s="12"/>
      <c r="K25" s="92"/>
      <c r="L25" s="93"/>
      <c r="M25" s="92"/>
      <c r="N25" s="93"/>
      <c r="O25" s="92"/>
      <c r="P25" s="93"/>
      <c r="Q25" s="36"/>
      <c r="R25" s="33"/>
      <c r="S25" s="34"/>
      <c r="T25" s="13"/>
      <c r="U25" s="28"/>
      <c r="V25" s="28"/>
      <c r="W25" s="29"/>
    </row>
    <row r="26" spans="1:23" x14ac:dyDescent="0.25">
      <c r="A26" s="2"/>
      <c r="B26" s="9"/>
      <c r="C26" s="9"/>
      <c r="D26" s="9"/>
      <c r="E26" s="9"/>
      <c r="F26" s="9"/>
      <c r="G26" s="9"/>
      <c r="H26" s="9"/>
      <c r="I26" s="9"/>
      <c r="J26" s="12"/>
      <c r="K26" s="92"/>
      <c r="L26" s="93"/>
      <c r="M26" s="92"/>
      <c r="N26" s="93"/>
      <c r="O26" s="92"/>
      <c r="P26" s="93"/>
      <c r="Q26" s="36"/>
      <c r="R26" s="33"/>
      <c r="S26" s="34"/>
      <c r="T26" s="13"/>
      <c r="U26" s="13"/>
      <c r="V26" s="13"/>
      <c r="W26" s="29"/>
    </row>
    <row r="27" spans="1:23" x14ac:dyDescent="0.25">
      <c r="A27" s="2"/>
      <c r="B27" s="9"/>
      <c r="C27" s="9"/>
      <c r="D27" s="9"/>
      <c r="E27" s="9"/>
      <c r="F27" s="9"/>
      <c r="G27" s="9"/>
      <c r="H27" s="9"/>
      <c r="I27" s="9"/>
      <c r="J27" s="12"/>
      <c r="K27" s="92"/>
      <c r="L27" s="93"/>
      <c r="M27" s="92"/>
      <c r="N27" s="93"/>
      <c r="O27" s="92"/>
      <c r="P27" s="93"/>
      <c r="Q27" s="36"/>
      <c r="R27" s="33"/>
      <c r="S27" s="34"/>
      <c r="T27" s="13"/>
      <c r="U27" s="13"/>
      <c r="V27" s="13"/>
      <c r="W27" s="29"/>
    </row>
    <row r="28" spans="1:23" ht="15" customHeight="1" x14ac:dyDescent="0.25">
      <c r="A28" s="2"/>
      <c r="B28" s="9"/>
      <c r="C28" s="9"/>
      <c r="D28" s="9"/>
      <c r="E28" s="9"/>
      <c r="F28" s="9"/>
      <c r="G28" s="9"/>
      <c r="H28" s="9"/>
      <c r="I28" s="9"/>
      <c r="J28" s="12"/>
      <c r="K28" s="92"/>
      <c r="L28" s="93"/>
      <c r="M28" s="92"/>
      <c r="N28" s="93"/>
      <c r="O28" s="92"/>
      <c r="P28" s="93"/>
      <c r="Q28" s="36"/>
      <c r="R28" s="33"/>
      <c r="S28" s="34"/>
      <c r="T28" s="13"/>
      <c r="U28" s="28"/>
      <c r="V28" s="28"/>
      <c r="W28" s="29"/>
    </row>
    <row r="29" spans="1:23" ht="15" customHeight="1" x14ac:dyDescent="0.25">
      <c r="A29" s="2"/>
      <c r="B29" s="9"/>
      <c r="C29" s="9"/>
      <c r="D29" s="9"/>
      <c r="E29" s="9"/>
      <c r="F29" s="9"/>
      <c r="G29" s="9"/>
      <c r="H29" s="9"/>
      <c r="I29" s="9"/>
      <c r="J29" s="12"/>
      <c r="K29" s="92"/>
      <c r="L29" s="93"/>
      <c r="M29" s="92"/>
      <c r="N29" s="93"/>
      <c r="O29" s="92"/>
      <c r="P29" s="93"/>
      <c r="Q29" s="36"/>
      <c r="R29" s="33"/>
      <c r="S29" s="34"/>
      <c r="T29" s="13"/>
      <c r="U29" s="13"/>
      <c r="V29" s="13"/>
      <c r="W29" s="29"/>
    </row>
    <row r="30" spans="1:23" ht="15" customHeight="1" x14ac:dyDescent="0.25">
      <c r="A30" s="2"/>
      <c r="B30" s="9"/>
      <c r="C30" s="9"/>
      <c r="D30" s="9"/>
      <c r="E30" s="9"/>
      <c r="F30" s="9"/>
      <c r="G30" s="9"/>
      <c r="H30" s="9"/>
      <c r="I30" s="9"/>
      <c r="J30" s="12"/>
      <c r="K30" s="92"/>
      <c r="L30" s="93"/>
      <c r="M30" s="92"/>
      <c r="N30" s="93"/>
      <c r="O30" s="92"/>
      <c r="P30" s="93"/>
      <c r="Q30" s="36"/>
      <c r="R30" s="33"/>
      <c r="S30" s="34"/>
      <c r="T30" s="13"/>
      <c r="U30" s="13"/>
      <c r="V30" s="13"/>
      <c r="W30" s="29"/>
    </row>
    <row r="31" spans="1:23" ht="15" customHeight="1" x14ac:dyDescent="0.25">
      <c r="A31" s="2"/>
      <c r="B31" s="9"/>
      <c r="C31" s="9"/>
      <c r="D31" s="9"/>
      <c r="E31" s="9"/>
      <c r="F31" s="9"/>
      <c r="G31" s="9"/>
      <c r="H31" s="9"/>
      <c r="I31" s="9"/>
      <c r="J31" s="12"/>
      <c r="K31" s="92"/>
      <c r="L31" s="93"/>
      <c r="M31" s="92"/>
      <c r="N31" s="93"/>
      <c r="O31" s="92"/>
      <c r="P31" s="93"/>
      <c r="Q31" s="36"/>
      <c r="R31" s="33"/>
      <c r="S31" s="34"/>
      <c r="T31" s="13"/>
      <c r="U31" s="28"/>
      <c r="V31" s="28"/>
      <c r="W31" s="29"/>
    </row>
    <row r="32" spans="1:23" x14ac:dyDescent="0.25">
      <c r="A32" s="2"/>
      <c r="B32" s="9"/>
      <c r="C32" s="9"/>
      <c r="D32" s="9"/>
      <c r="E32" s="9"/>
      <c r="F32" s="9"/>
      <c r="G32" s="9"/>
      <c r="H32" s="9"/>
      <c r="I32" s="9"/>
      <c r="J32" s="12"/>
      <c r="K32" s="92"/>
      <c r="L32" s="93"/>
      <c r="M32" s="92"/>
      <c r="N32" s="93"/>
      <c r="O32" s="92"/>
      <c r="P32" s="93"/>
      <c r="Q32" s="36"/>
      <c r="R32" s="33"/>
      <c r="S32" s="34"/>
      <c r="T32" s="13"/>
      <c r="U32" s="13"/>
      <c r="V32" s="3"/>
    </row>
    <row r="33" spans="1:24" ht="15.75" thickBot="1" x14ac:dyDescent="0.3">
      <c r="A33" s="2"/>
      <c r="B33" s="9"/>
      <c r="C33" s="9"/>
      <c r="D33" s="9"/>
      <c r="E33" s="9"/>
      <c r="F33" s="9"/>
      <c r="G33" s="9"/>
      <c r="H33" s="9"/>
      <c r="I33" s="9"/>
      <c r="J33" s="12"/>
      <c r="K33" s="92"/>
      <c r="L33" s="93"/>
      <c r="M33" s="92"/>
      <c r="N33" s="93"/>
      <c r="O33" s="92"/>
      <c r="P33" s="93"/>
      <c r="Q33" s="36"/>
      <c r="R33" s="33"/>
      <c r="S33" s="34"/>
      <c r="T33" s="13"/>
      <c r="U33" s="13"/>
      <c r="V33" s="3"/>
    </row>
    <row r="34" spans="1:24" ht="15.75" thickBot="1" x14ac:dyDescent="0.3">
      <c r="A34" s="2"/>
      <c r="B34" s="9"/>
      <c r="C34" s="9"/>
      <c r="D34" s="9"/>
      <c r="E34" s="9"/>
      <c r="F34" s="9"/>
      <c r="G34" s="9"/>
      <c r="H34" s="9"/>
      <c r="I34" s="9"/>
      <c r="J34" s="12"/>
      <c r="K34" s="94" t="s">
        <v>23</v>
      </c>
      <c r="L34" s="95"/>
      <c r="M34" s="96">
        <f>SUM(M20:N23)</f>
        <v>414</v>
      </c>
      <c r="N34" s="96"/>
      <c r="O34" s="96">
        <f>SUM(O20:P23)</f>
        <v>202</v>
      </c>
      <c r="P34" s="96"/>
      <c r="Q34" s="35">
        <f>SUM(Q20:Q23)</f>
        <v>169</v>
      </c>
      <c r="R34" s="39">
        <f>IF(M34&gt;0,(M34-O34+Q34)/M34,0)</f>
        <v>0.92028985507246375</v>
      </c>
      <c r="S34" s="38">
        <v>0.8</v>
      </c>
      <c r="T34" s="13"/>
      <c r="U34" s="13"/>
      <c r="V34" s="3"/>
    </row>
    <row r="35" spans="1:24" ht="15.75" thickBot="1" x14ac:dyDescent="0.3">
      <c r="A35" s="2"/>
      <c r="B35" s="9"/>
      <c r="C35" s="9"/>
      <c r="D35" s="9"/>
      <c r="E35" s="9"/>
      <c r="F35" s="9"/>
      <c r="G35" s="9"/>
      <c r="H35" s="9"/>
      <c r="I35" s="9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4"/>
      <c r="U35" s="4"/>
    </row>
    <row r="36" spans="1:24" x14ac:dyDescent="0.25">
      <c r="A36" s="2"/>
      <c r="B36" s="75" t="s">
        <v>0</v>
      </c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7"/>
      <c r="T36" s="4"/>
      <c r="U36" s="4"/>
    </row>
    <row r="37" spans="1:24" x14ac:dyDescent="0.25">
      <c r="A37" s="2"/>
      <c r="B37" s="15" t="s">
        <v>19</v>
      </c>
      <c r="C37" s="78" t="s">
        <v>22</v>
      </c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9"/>
      <c r="T37" s="4"/>
      <c r="U37" s="4"/>
    </row>
    <row r="38" spans="1:24" ht="18.75" customHeight="1" x14ac:dyDescent="0.25">
      <c r="A38" s="2"/>
      <c r="B38" s="19"/>
      <c r="C38" s="80"/>
      <c r="D38" s="81"/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2"/>
      <c r="T38" s="4"/>
      <c r="U38" s="4"/>
    </row>
    <row r="39" spans="1:24" ht="18" customHeight="1" x14ac:dyDescent="0.25">
      <c r="A39" s="2"/>
      <c r="B39" s="19"/>
      <c r="C39" s="80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2"/>
      <c r="T39" s="4"/>
      <c r="U39" s="4"/>
      <c r="X39" s="31"/>
    </row>
    <row r="40" spans="1:24" x14ac:dyDescent="0.25">
      <c r="A40" s="2"/>
      <c r="B40" s="19"/>
      <c r="C40" s="83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5"/>
      <c r="T40" s="4"/>
      <c r="U40" s="4"/>
    </row>
    <row r="41" spans="1:24" x14ac:dyDescent="0.25">
      <c r="A41" s="2"/>
      <c r="B41" s="19"/>
      <c r="C41" s="83"/>
      <c r="D41" s="84"/>
      <c r="E41" s="84"/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5"/>
      <c r="T41" s="4"/>
      <c r="U41" s="4"/>
    </row>
    <row r="42" spans="1:24" ht="15.75" thickBot="1" x14ac:dyDescent="0.3">
      <c r="A42" s="2"/>
      <c r="B42" s="16"/>
      <c r="C42" s="86"/>
      <c r="D42" s="86"/>
      <c r="E42" s="86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7"/>
      <c r="T42" s="4"/>
      <c r="U42" s="4"/>
    </row>
    <row r="43" spans="1:24" x14ac:dyDescent="0.25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</row>
    <row r="45" spans="1:24" x14ac:dyDescent="0.25">
      <c r="B45" s="88" t="s">
        <v>20</v>
      </c>
      <c r="C45" s="89"/>
      <c r="D45" s="89"/>
      <c r="E45" s="89"/>
      <c r="F45" s="89"/>
      <c r="G45" s="89"/>
      <c r="H45" s="90"/>
      <c r="I45" s="88" t="s">
        <v>21</v>
      </c>
      <c r="J45" s="89"/>
      <c r="K45" s="89"/>
      <c r="L45" s="89"/>
      <c r="M45" s="89"/>
      <c r="N45" s="89"/>
      <c r="O45" s="89"/>
      <c r="P45" s="89"/>
      <c r="Q45" s="89"/>
      <c r="R45" s="90"/>
    </row>
    <row r="46" spans="1:24" x14ac:dyDescent="0.25">
      <c r="B46" s="91"/>
      <c r="C46" s="91"/>
      <c r="D46" s="91"/>
      <c r="E46" s="91"/>
      <c r="F46" s="91"/>
      <c r="G46" s="91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</row>
    <row r="47" spans="1:24" x14ac:dyDescent="0.25">
      <c r="B47" s="91"/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</row>
    <row r="48" spans="1:24" x14ac:dyDescent="0.25">
      <c r="B48" s="91"/>
      <c r="C48" s="91"/>
      <c r="D48" s="91"/>
      <c r="E48" s="91"/>
      <c r="F48" s="91"/>
      <c r="G48" s="91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</row>
    <row r="49" spans="2:18" x14ac:dyDescent="0.25">
      <c r="B49" s="91"/>
      <c r="C49" s="91"/>
      <c r="D49" s="91"/>
      <c r="E49" s="91"/>
      <c r="F49" s="91"/>
      <c r="G49" s="91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1"/>
    </row>
    <row r="50" spans="2:18" x14ac:dyDescent="0.25">
      <c r="B50" s="91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</row>
    <row r="51" spans="2:18" x14ac:dyDescent="0.25">
      <c r="B51" s="74"/>
      <c r="C51" s="74"/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</row>
    <row r="60" spans="2:18" x14ac:dyDescent="0.25">
      <c r="J60" s="20"/>
    </row>
  </sheetData>
  <mergeCells count="86">
    <mergeCell ref="O24:P24"/>
    <mergeCell ref="O26:P26"/>
    <mergeCell ref="O27:P27"/>
    <mergeCell ref="O28:P28"/>
    <mergeCell ref="O29:P29"/>
    <mergeCell ref="K24:L24"/>
    <mergeCell ref="K26:L26"/>
    <mergeCell ref="K27:L27"/>
    <mergeCell ref="K28:L28"/>
    <mergeCell ref="K29:L29"/>
    <mergeCell ref="M24:N24"/>
    <mergeCell ref="M26:N26"/>
    <mergeCell ref="M27:N27"/>
    <mergeCell ref="M28:N28"/>
    <mergeCell ref="M29:N29"/>
    <mergeCell ref="K21:L21"/>
    <mergeCell ref="M21:N21"/>
    <mergeCell ref="O21:P21"/>
    <mergeCell ref="M22:N22"/>
    <mergeCell ref="M23:N23"/>
    <mergeCell ref="K22:L22"/>
    <mergeCell ref="K23:L23"/>
    <mergeCell ref="O22:P22"/>
    <mergeCell ref="O23:P23"/>
    <mergeCell ref="C11:J11"/>
    <mergeCell ref="P11:S11"/>
    <mergeCell ref="B1:S2"/>
    <mergeCell ref="B3:S3"/>
    <mergeCell ref="B4:S4"/>
    <mergeCell ref="B5:S5"/>
    <mergeCell ref="B7:S9"/>
    <mergeCell ref="C12:J12"/>
    <mergeCell ref="P12:S12"/>
    <mergeCell ref="T12:T18"/>
    <mergeCell ref="C13:J13"/>
    <mergeCell ref="K13:O13"/>
    <mergeCell ref="P13:S13"/>
    <mergeCell ref="C14:J14"/>
    <mergeCell ref="K14:O14"/>
    <mergeCell ref="P14:S14"/>
    <mergeCell ref="D18:E18"/>
    <mergeCell ref="K20:L20"/>
    <mergeCell ref="M20:N20"/>
    <mergeCell ref="O20:P20"/>
    <mergeCell ref="B15:B16"/>
    <mergeCell ref="C15:J16"/>
    <mergeCell ref="K15:O15"/>
    <mergeCell ref="P15:S15"/>
    <mergeCell ref="K16:O16"/>
    <mergeCell ref="P16:S16"/>
    <mergeCell ref="K18:S18"/>
    <mergeCell ref="B19:I19"/>
    <mergeCell ref="K19:L19"/>
    <mergeCell ref="M19:N19"/>
    <mergeCell ref="O19:P19"/>
    <mergeCell ref="M32:N32"/>
    <mergeCell ref="O32:P32"/>
    <mergeCell ref="K25:L25"/>
    <mergeCell ref="M25:N25"/>
    <mergeCell ref="O25:P25"/>
    <mergeCell ref="M30:N30"/>
    <mergeCell ref="M31:N31"/>
    <mergeCell ref="K30:L30"/>
    <mergeCell ref="K31:L31"/>
    <mergeCell ref="K32:L32"/>
    <mergeCell ref="O30:P30"/>
    <mergeCell ref="O31:P31"/>
    <mergeCell ref="K33:L33"/>
    <mergeCell ref="M33:N33"/>
    <mergeCell ref="O33:P33"/>
    <mergeCell ref="K34:L34"/>
    <mergeCell ref="M34:N34"/>
    <mergeCell ref="O34:P34"/>
    <mergeCell ref="B51:H51"/>
    <mergeCell ref="I51:R51"/>
    <mergeCell ref="B36:S36"/>
    <mergeCell ref="C37:S37"/>
    <mergeCell ref="C38:S38"/>
    <mergeCell ref="C39:S39"/>
    <mergeCell ref="C40:S40"/>
    <mergeCell ref="C41:S41"/>
    <mergeCell ref="C42:S42"/>
    <mergeCell ref="B45:H45"/>
    <mergeCell ref="I45:R45"/>
    <mergeCell ref="B46:H50"/>
    <mergeCell ref="I46:R50"/>
  </mergeCells>
  <printOptions verticalCentered="1"/>
  <pageMargins left="0.23622047244094491" right="0.23622047244094491" top="0.74803149606299213" bottom="0.74803149606299213" header="0.31496062992125984" footer="0.31496062992125984"/>
  <pageSetup scale="57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0"/>
  <sheetViews>
    <sheetView showGridLines="0" topLeftCell="A22" zoomScale="90" zoomScaleNormal="90" workbookViewId="0">
      <selection activeCell="Q34" sqref="Q34"/>
    </sheetView>
  </sheetViews>
  <sheetFormatPr baseColWidth="10" defaultColWidth="11.42578125" defaultRowHeight="15" x14ac:dyDescent="0.25"/>
  <cols>
    <col min="1" max="1" width="1.85546875" style="1" customWidth="1"/>
    <col min="2" max="2" width="25" style="1" customWidth="1"/>
    <col min="3" max="3" width="3.28515625" style="1" customWidth="1"/>
    <col min="4" max="9" width="7.42578125" style="1" customWidth="1"/>
    <col min="10" max="10" width="5.85546875" style="1" bestFit="1" customWidth="1"/>
    <col min="11" max="11" width="10.28515625" style="1" customWidth="1"/>
    <col min="12" max="12" width="7.42578125" style="1" customWidth="1"/>
    <col min="13" max="14" width="7.140625" style="1" customWidth="1"/>
    <col min="15" max="15" width="7.42578125" style="1" customWidth="1"/>
    <col min="16" max="16" width="5.7109375" style="1" customWidth="1"/>
    <col min="17" max="17" width="12.28515625" style="1" customWidth="1"/>
    <col min="18" max="18" width="29.140625" style="1" customWidth="1"/>
    <col min="19" max="19" width="3.7109375" style="1" customWidth="1"/>
    <col min="20" max="20" width="11.42578125" style="1"/>
    <col min="21" max="21" width="19.140625" style="1" customWidth="1"/>
    <col min="22" max="16384" width="11.42578125" style="1"/>
  </cols>
  <sheetData>
    <row r="1" spans="2:22" x14ac:dyDescent="0.25">
      <c r="B1" s="146" t="s">
        <v>4</v>
      </c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</row>
    <row r="2" spans="2:22" ht="15.75" thickBot="1" x14ac:dyDescent="0.3"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3"/>
    </row>
    <row r="3" spans="2:22" ht="15.75" x14ac:dyDescent="0.25">
      <c r="B3" s="148" t="s">
        <v>6</v>
      </c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3"/>
    </row>
    <row r="4" spans="2:22" x14ac:dyDescent="0.25">
      <c r="B4" s="149"/>
      <c r="C4" s="149"/>
      <c r="D4" s="149"/>
      <c r="E4" s="149"/>
      <c r="F4" s="149"/>
      <c r="G4" s="149"/>
      <c r="H4" s="149"/>
      <c r="I4" s="149"/>
      <c r="J4" s="149"/>
      <c r="K4" s="149"/>
      <c r="L4" s="149"/>
      <c r="M4" s="149"/>
      <c r="N4" s="149"/>
      <c r="O4" s="149"/>
      <c r="P4" s="149"/>
      <c r="Q4" s="149"/>
      <c r="R4" s="149"/>
      <c r="S4" s="3"/>
    </row>
    <row r="5" spans="2:22" ht="16.5" thickBot="1" x14ac:dyDescent="0.3">
      <c r="B5" s="150" t="s">
        <v>24</v>
      </c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3"/>
    </row>
    <row r="6" spans="2:22" ht="15.75" thickBot="1" x14ac:dyDescent="0.3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2:22" x14ac:dyDescent="0.25">
      <c r="B7" s="151" t="s">
        <v>3</v>
      </c>
      <c r="C7" s="152"/>
      <c r="D7" s="152"/>
      <c r="E7" s="152"/>
      <c r="F7" s="152"/>
      <c r="G7" s="152"/>
      <c r="H7" s="152"/>
      <c r="I7" s="152"/>
      <c r="J7" s="152"/>
      <c r="K7" s="152"/>
      <c r="L7" s="152"/>
      <c r="M7" s="152"/>
      <c r="N7" s="152"/>
      <c r="O7" s="152"/>
      <c r="P7" s="152"/>
      <c r="Q7" s="152"/>
      <c r="R7" s="153"/>
    </row>
    <row r="8" spans="2:22" x14ac:dyDescent="0.25">
      <c r="B8" s="154"/>
      <c r="C8" s="155"/>
      <c r="D8" s="155"/>
      <c r="E8" s="155"/>
      <c r="F8" s="155"/>
      <c r="G8" s="155"/>
      <c r="H8" s="155"/>
      <c r="I8" s="155"/>
      <c r="J8" s="155"/>
      <c r="K8" s="155"/>
      <c r="L8" s="155"/>
      <c r="M8" s="155"/>
      <c r="N8" s="155"/>
      <c r="O8" s="155"/>
      <c r="P8" s="155"/>
      <c r="Q8" s="155"/>
      <c r="R8" s="156"/>
    </row>
    <row r="9" spans="2:22" ht="15.75" thickBot="1" x14ac:dyDescent="0.3">
      <c r="B9" s="157"/>
      <c r="C9" s="158"/>
      <c r="D9" s="158"/>
      <c r="E9" s="158"/>
      <c r="F9" s="158"/>
      <c r="G9" s="158"/>
      <c r="H9" s="158"/>
      <c r="I9" s="158"/>
      <c r="J9" s="158"/>
      <c r="K9" s="158"/>
      <c r="L9" s="158"/>
      <c r="M9" s="158"/>
      <c r="N9" s="158"/>
      <c r="O9" s="158"/>
      <c r="P9" s="158"/>
      <c r="Q9" s="158"/>
      <c r="R9" s="159"/>
    </row>
    <row r="10" spans="2:22" ht="15.75" thickBot="1" x14ac:dyDescent="0.3">
      <c r="B10" s="5"/>
      <c r="C10" s="5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4"/>
      <c r="T10" s="4"/>
    </row>
    <row r="11" spans="2:22" ht="17.25" thickBot="1" x14ac:dyDescent="0.3">
      <c r="B11" s="26" t="s">
        <v>7</v>
      </c>
      <c r="C11" s="140" t="s">
        <v>33</v>
      </c>
      <c r="D11" s="141"/>
      <c r="E11" s="141"/>
      <c r="F11" s="141"/>
      <c r="G11" s="141"/>
      <c r="H11" s="141"/>
      <c r="I11" s="141"/>
      <c r="J11" s="142"/>
      <c r="K11" s="22" t="s">
        <v>12</v>
      </c>
      <c r="L11" s="23"/>
      <c r="M11" s="24"/>
      <c r="N11" s="25"/>
      <c r="O11" s="25"/>
      <c r="P11" s="143" t="s">
        <v>28</v>
      </c>
      <c r="Q11" s="144"/>
      <c r="R11" s="145"/>
      <c r="S11" s="4"/>
      <c r="T11" s="4"/>
    </row>
    <row r="12" spans="2:22" ht="17.25" thickBot="1" x14ac:dyDescent="0.3">
      <c r="B12" s="26" t="s">
        <v>9</v>
      </c>
      <c r="C12" s="125" t="s">
        <v>34</v>
      </c>
      <c r="D12" s="126"/>
      <c r="E12" s="126"/>
      <c r="F12" s="126"/>
      <c r="G12" s="126"/>
      <c r="H12" s="126"/>
      <c r="I12" s="126"/>
      <c r="J12" s="127"/>
      <c r="K12" s="22" t="s">
        <v>11</v>
      </c>
      <c r="L12" s="23"/>
      <c r="M12" s="24"/>
      <c r="N12" s="25"/>
      <c r="O12" s="25"/>
      <c r="P12" s="171" t="s">
        <v>48</v>
      </c>
      <c r="Q12" s="172"/>
      <c r="R12" s="173"/>
      <c r="S12" s="131"/>
      <c r="T12" s="4"/>
    </row>
    <row r="13" spans="2:22" ht="51" customHeight="1" thickBot="1" x14ac:dyDescent="0.3">
      <c r="B13" s="26" t="s">
        <v>14</v>
      </c>
      <c r="C13" s="174" t="s">
        <v>51</v>
      </c>
      <c r="D13" s="129"/>
      <c r="E13" s="129"/>
      <c r="F13" s="129"/>
      <c r="G13" s="129"/>
      <c r="H13" s="129"/>
      <c r="I13" s="129"/>
      <c r="J13" s="130"/>
      <c r="K13" s="132" t="s">
        <v>8</v>
      </c>
      <c r="L13" s="132"/>
      <c r="M13" s="132"/>
      <c r="N13" s="132"/>
      <c r="O13" s="132"/>
      <c r="P13" s="133" t="s">
        <v>49</v>
      </c>
      <c r="Q13" s="134"/>
      <c r="R13" s="135"/>
      <c r="S13" s="131"/>
      <c r="T13" s="4"/>
    </row>
    <row r="14" spans="2:22" ht="90" customHeight="1" thickBot="1" x14ac:dyDescent="0.3">
      <c r="B14" s="27" t="s">
        <v>10</v>
      </c>
      <c r="C14" s="128" t="s">
        <v>47</v>
      </c>
      <c r="D14" s="129"/>
      <c r="E14" s="129"/>
      <c r="F14" s="129"/>
      <c r="G14" s="129"/>
      <c r="H14" s="129"/>
      <c r="I14" s="129"/>
      <c r="J14" s="130"/>
      <c r="K14" s="136" t="s">
        <v>13</v>
      </c>
      <c r="L14" s="136"/>
      <c r="M14" s="136"/>
      <c r="N14" s="136"/>
      <c r="O14" s="136"/>
      <c r="P14" s="137" t="s">
        <v>53</v>
      </c>
      <c r="Q14" s="138"/>
      <c r="R14" s="139"/>
      <c r="S14" s="131"/>
      <c r="T14" s="4"/>
      <c r="U14" s="44"/>
    </row>
    <row r="15" spans="2:22" ht="15" customHeight="1" x14ac:dyDescent="0.25">
      <c r="B15" s="99" t="s">
        <v>15</v>
      </c>
      <c r="C15" s="101" t="s">
        <v>32</v>
      </c>
      <c r="D15" s="102"/>
      <c r="E15" s="102"/>
      <c r="F15" s="102"/>
      <c r="G15" s="102"/>
      <c r="H15" s="102"/>
      <c r="I15" s="102"/>
      <c r="J15" s="103"/>
      <c r="K15" s="107" t="s">
        <v>16</v>
      </c>
      <c r="L15" s="108"/>
      <c r="M15" s="108"/>
      <c r="N15" s="108"/>
      <c r="O15" s="109"/>
      <c r="P15" s="110" t="s">
        <v>27</v>
      </c>
      <c r="Q15" s="111"/>
      <c r="R15" s="112"/>
      <c r="S15" s="131"/>
      <c r="T15" s="4"/>
      <c r="U15" s="44"/>
      <c r="V15" s="44"/>
    </row>
    <row r="16" spans="2:22" ht="15.75" customHeight="1" thickBot="1" x14ac:dyDescent="0.3">
      <c r="B16" s="100"/>
      <c r="C16" s="104"/>
      <c r="D16" s="105"/>
      <c r="E16" s="105"/>
      <c r="F16" s="105"/>
      <c r="G16" s="105"/>
      <c r="H16" s="105"/>
      <c r="I16" s="105"/>
      <c r="J16" s="106"/>
      <c r="K16" s="113" t="s">
        <v>17</v>
      </c>
      <c r="L16" s="114"/>
      <c r="M16" s="114"/>
      <c r="N16" s="114"/>
      <c r="O16" s="115"/>
      <c r="P16" s="116" t="s">
        <v>27</v>
      </c>
      <c r="Q16" s="117"/>
      <c r="R16" s="118"/>
      <c r="S16" s="131"/>
      <c r="T16" s="4"/>
      <c r="U16" s="44"/>
    </row>
    <row r="17" spans="1:22" ht="15.75" thickBot="1" x14ac:dyDescent="0.3">
      <c r="B17" s="7"/>
      <c r="C17" s="7"/>
      <c r="D17" s="8"/>
      <c r="E17" s="8"/>
      <c r="F17" s="8"/>
      <c r="G17" s="8"/>
      <c r="H17" s="8"/>
      <c r="I17" s="8"/>
      <c r="J17" s="7"/>
      <c r="K17" s="7"/>
      <c r="L17" s="7"/>
      <c r="M17" s="8"/>
      <c r="N17" s="8"/>
      <c r="O17" s="8"/>
      <c r="P17" s="8"/>
      <c r="Q17" s="8"/>
      <c r="R17" s="8"/>
      <c r="S17" s="131"/>
      <c r="T17" s="4"/>
    </row>
    <row r="18" spans="1:22" ht="18.75" customHeight="1" thickBot="1" x14ac:dyDescent="0.3">
      <c r="A18" s="2"/>
      <c r="B18" s="9"/>
      <c r="C18" s="9"/>
      <c r="D18" s="122"/>
      <c r="E18" s="122"/>
      <c r="F18" s="9"/>
      <c r="G18" s="9"/>
      <c r="H18" s="9"/>
      <c r="I18" s="9"/>
      <c r="J18" s="10"/>
      <c r="K18" s="119" t="s">
        <v>25</v>
      </c>
      <c r="L18" s="120"/>
      <c r="M18" s="120"/>
      <c r="N18" s="120"/>
      <c r="O18" s="120"/>
      <c r="P18" s="120"/>
      <c r="Q18" s="120"/>
      <c r="R18" s="121"/>
      <c r="S18" s="131"/>
      <c r="T18" s="14"/>
      <c r="U18" s="3"/>
    </row>
    <row r="19" spans="1:22" ht="50.25" customHeight="1" x14ac:dyDescent="0.25">
      <c r="A19" s="2"/>
      <c r="B19" s="122" t="s">
        <v>2</v>
      </c>
      <c r="C19" s="122"/>
      <c r="D19" s="122"/>
      <c r="E19" s="122"/>
      <c r="F19" s="122"/>
      <c r="G19" s="122"/>
      <c r="H19" s="122"/>
      <c r="I19" s="122"/>
      <c r="J19" s="11"/>
      <c r="K19" s="123" t="s">
        <v>18</v>
      </c>
      <c r="L19" s="124"/>
      <c r="M19" s="123" t="s">
        <v>52</v>
      </c>
      <c r="N19" s="124"/>
      <c r="O19" s="123" t="s">
        <v>50</v>
      </c>
      <c r="P19" s="124"/>
      <c r="Q19" s="37" t="s">
        <v>54</v>
      </c>
      <c r="R19" s="21" t="s">
        <v>5</v>
      </c>
      <c r="S19" s="17"/>
      <c r="T19" s="17"/>
      <c r="U19" s="3"/>
    </row>
    <row r="20" spans="1:22" ht="15" customHeight="1" x14ac:dyDescent="0.25">
      <c r="A20" s="2"/>
      <c r="B20" s="9"/>
      <c r="C20" s="9"/>
      <c r="D20" s="9"/>
      <c r="E20" s="9"/>
      <c r="F20" s="9"/>
      <c r="G20" s="9"/>
      <c r="H20" s="9"/>
      <c r="I20" s="9"/>
      <c r="J20" s="12"/>
      <c r="K20" s="166" t="s">
        <v>41</v>
      </c>
      <c r="L20" s="167"/>
      <c r="M20" s="169">
        <v>5</v>
      </c>
      <c r="N20" s="170"/>
      <c r="O20" s="169">
        <v>3</v>
      </c>
      <c r="P20" s="170"/>
      <c r="Q20" s="41">
        <f t="shared" ref="Q20:Q25" si="0">IF(M20&gt;0,(M20-O20)/(M20),0)</f>
        <v>0.4</v>
      </c>
      <c r="R20" s="18">
        <v>0.08</v>
      </c>
      <c r="S20" s="13"/>
      <c r="T20" s="13"/>
      <c r="U20" s="3"/>
      <c r="V20" s="29"/>
    </row>
    <row r="21" spans="1:22" x14ac:dyDescent="0.25">
      <c r="A21" s="2"/>
      <c r="B21" s="9"/>
      <c r="C21" s="9"/>
      <c r="D21" s="9"/>
      <c r="E21" s="9"/>
      <c r="F21" s="9"/>
      <c r="G21" s="9"/>
      <c r="H21" s="9"/>
      <c r="I21" s="9"/>
      <c r="J21" s="12"/>
      <c r="K21" s="166" t="s">
        <v>42</v>
      </c>
      <c r="L21" s="167"/>
      <c r="M21" s="169">
        <v>30</v>
      </c>
      <c r="N21" s="170"/>
      <c r="O21" s="169">
        <v>15</v>
      </c>
      <c r="P21" s="170"/>
      <c r="Q21" s="41">
        <f t="shared" si="0"/>
        <v>0.5</v>
      </c>
      <c r="R21" s="18">
        <v>0.08</v>
      </c>
      <c r="S21" s="13"/>
      <c r="T21" s="13"/>
      <c r="U21" s="3"/>
      <c r="V21" s="29"/>
    </row>
    <row r="22" spans="1:22" x14ac:dyDescent="0.25">
      <c r="A22" s="2"/>
      <c r="B22" s="9"/>
      <c r="C22" s="9"/>
      <c r="D22" s="9"/>
      <c r="E22" s="9"/>
      <c r="F22" s="9"/>
      <c r="G22" s="9"/>
      <c r="H22" s="9"/>
      <c r="I22" s="9"/>
      <c r="J22" s="12"/>
      <c r="K22" s="166" t="s">
        <v>43</v>
      </c>
      <c r="L22" s="167"/>
      <c r="M22" s="169"/>
      <c r="N22" s="170"/>
      <c r="O22" s="169"/>
      <c r="P22" s="170"/>
      <c r="Q22" s="41">
        <f t="shared" si="0"/>
        <v>0</v>
      </c>
      <c r="R22" s="18">
        <v>0.08</v>
      </c>
      <c r="S22" s="13"/>
      <c r="T22" s="28"/>
      <c r="U22" s="28"/>
      <c r="V22" s="29"/>
    </row>
    <row r="23" spans="1:22" x14ac:dyDescent="0.25">
      <c r="A23" s="2"/>
      <c r="B23" s="9"/>
      <c r="C23" s="9"/>
      <c r="D23" s="9"/>
      <c r="E23" s="9"/>
      <c r="F23" s="9"/>
      <c r="G23" s="9"/>
      <c r="H23" s="9"/>
      <c r="I23" s="9"/>
      <c r="J23" s="12"/>
      <c r="K23" s="166" t="s">
        <v>44</v>
      </c>
      <c r="L23" s="167"/>
      <c r="M23" s="169"/>
      <c r="N23" s="170"/>
      <c r="O23" s="169"/>
      <c r="P23" s="170"/>
      <c r="Q23" s="41">
        <f t="shared" si="0"/>
        <v>0</v>
      </c>
      <c r="R23" s="18">
        <v>0.08</v>
      </c>
      <c r="S23" s="13"/>
      <c r="T23" s="13"/>
      <c r="U23" s="13"/>
      <c r="V23" s="29"/>
    </row>
    <row r="24" spans="1:22" x14ac:dyDescent="0.25">
      <c r="A24" s="2"/>
      <c r="B24" s="9"/>
      <c r="C24" s="9"/>
      <c r="D24" s="9"/>
      <c r="E24" s="9"/>
      <c r="F24" s="9"/>
      <c r="G24" s="9"/>
      <c r="H24" s="9"/>
      <c r="I24" s="9"/>
      <c r="J24" s="12"/>
      <c r="K24" s="166" t="s">
        <v>45</v>
      </c>
      <c r="L24" s="167"/>
      <c r="M24" s="169"/>
      <c r="N24" s="170"/>
      <c r="O24" s="169"/>
      <c r="P24" s="170"/>
      <c r="Q24" s="41">
        <f t="shared" si="0"/>
        <v>0</v>
      </c>
      <c r="R24" s="18">
        <v>0.08</v>
      </c>
      <c r="S24" s="13"/>
      <c r="T24" s="13"/>
      <c r="U24" s="13"/>
      <c r="V24" s="29"/>
    </row>
    <row r="25" spans="1:22" x14ac:dyDescent="0.25">
      <c r="A25" s="2"/>
      <c r="B25" s="9"/>
      <c r="C25" s="9"/>
      <c r="D25" s="9"/>
      <c r="E25" s="9"/>
      <c r="F25" s="9"/>
      <c r="G25" s="9"/>
      <c r="H25" s="9"/>
      <c r="I25" s="9"/>
      <c r="J25" s="12"/>
      <c r="K25" s="166" t="s">
        <v>46</v>
      </c>
      <c r="L25" s="167"/>
      <c r="M25" s="168"/>
      <c r="N25" s="168"/>
      <c r="O25" s="168"/>
      <c r="P25" s="168"/>
      <c r="Q25" s="41">
        <f t="shared" si="0"/>
        <v>0</v>
      </c>
      <c r="R25" s="18">
        <v>0.08</v>
      </c>
      <c r="S25" s="13"/>
      <c r="T25" s="28"/>
      <c r="U25" s="28"/>
      <c r="V25" s="29"/>
    </row>
    <row r="26" spans="1:22" x14ac:dyDescent="0.25">
      <c r="A26" s="2"/>
      <c r="B26" s="9"/>
      <c r="C26" s="9"/>
      <c r="D26" s="9"/>
      <c r="E26" s="9"/>
      <c r="F26" s="9"/>
      <c r="G26" s="9"/>
      <c r="H26" s="9"/>
      <c r="I26" s="9"/>
      <c r="J26" s="12"/>
      <c r="K26" s="166"/>
      <c r="L26" s="167"/>
      <c r="M26" s="168"/>
      <c r="N26" s="168"/>
      <c r="O26" s="168"/>
      <c r="P26" s="168"/>
      <c r="Q26" s="41"/>
      <c r="R26" s="18">
        <v>0.08</v>
      </c>
      <c r="S26" s="13"/>
      <c r="T26" s="13"/>
      <c r="U26" s="13"/>
      <c r="V26" s="29"/>
    </row>
    <row r="27" spans="1:22" x14ac:dyDescent="0.25">
      <c r="A27" s="2"/>
      <c r="B27" s="9"/>
      <c r="C27" s="9"/>
      <c r="D27" s="9"/>
      <c r="E27" s="9"/>
      <c r="F27" s="9"/>
      <c r="G27" s="9"/>
      <c r="H27" s="9"/>
      <c r="I27" s="9"/>
      <c r="J27" s="12"/>
      <c r="K27" s="166"/>
      <c r="L27" s="167"/>
      <c r="M27" s="168"/>
      <c r="N27" s="168"/>
      <c r="O27" s="168"/>
      <c r="P27" s="168"/>
      <c r="Q27" s="41"/>
      <c r="R27" s="18">
        <v>0.08</v>
      </c>
      <c r="S27" s="13"/>
      <c r="T27" s="13"/>
      <c r="U27" s="13"/>
      <c r="V27" s="29"/>
    </row>
    <row r="28" spans="1:22" x14ac:dyDescent="0.25">
      <c r="A28" s="2"/>
      <c r="B28" s="9"/>
      <c r="C28" s="9"/>
      <c r="D28" s="9"/>
      <c r="E28" s="9"/>
      <c r="F28" s="9"/>
      <c r="G28" s="9"/>
      <c r="H28" s="9"/>
      <c r="I28" s="9"/>
      <c r="J28" s="12"/>
      <c r="K28" s="166"/>
      <c r="L28" s="167"/>
      <c r="M28" s="168"/>
      <c r="N28" s="168"/>
      <c r="O28" s="168"/>
      <c r="P28" s="168"/>
      <c r="Q28" s="41"/>
      <c r="R28" s="18">
        <v>0.08</v>
      </c>
      <c r="S28" s="13"/>
      <c r="T28" s="28"/>
      <c r="U28" s="28"/>
      <c r="V28" s="29"/>
    </row>
    <row r="29" spans="1:22" x14ac:dyDescent="0.25">
      <c r="A29" s="2"/>
      <c r="B29" s="9"/>
      <c r="C29" s="9"/>
      <c r="D29" s="9"/>
      <c r="E29" s="9"/>
      <c r="F29" s="9"/>
      <c r="G29" s="9"/>
      <c r="H29" s="9"/>
      <c r="I29" s="9"/>
      <c r="J29" s="12"/>
      <c r="K29" s="166"/>
      <c r="L29" s="167"/>
      <c r="M29" s="168"/>
      <c r="N29" s="168"/>
      <c r="O29" s="168"/>
      <c r="P29" s="168"/>
      <c r="Q29" s="41"/>
      <c r="R29" s="18">
        <v>0.08</v>
      </c>
      <c r="S29" s="13"/>
      <c r="T29" s="13"/>
      <c r="U29" s="13"/>
      <c r="V29" s="29"/>
    </row>
    <row r="30" spans="1:22" x14ac:dyDescent="0.25">
      <c r="A30" s="2"/>
      <c r="B30" s="9"/>
      <c r="C30" s="9"/>
      <c r="D30" s="9"/>
      <c r="E30" s="9"/>
      <c r="F30" s="9"/>
      <c r="G30" s="9"/>
      <c r="H30" s="9"/>
      <c r="I30" s="9"/>
      <c r="J30" s="12"/>
      <c r="K30" s="166"/>
      <c r="L30" s="167"/>
      <c r="M30" s="168"/>
      <c r="N30" s="168"/>
      <c r="O30" s="168"/>
      <c r="P30" s="168"/>
      <c r="Q30" s="41"/>
      <c r="R30" s="18">
        <v>0.08</v>
      </c>
      <c r="S30" s="13"/>
      <c r="T30" s="13"/>
      <c r="U30" s="13"/>
      <c r="V30" s="29"/>
    </row>
    <row r="31" spans="1:22" x14ac:dyDescent="0.25">
      <c r="A31" s="2"/>
      <c r="B31" s="9"/>
      <c r="C31" s="9"/>
      <c r="D31" s="9"/>
      <c r="E31" s="9"/>
      <c r="F31" s="9"/>
      <c r="G31" s="9"/>
      <c r="H31" s="9"/>
      <c r="I31" s="9"/>
      <c r="J31" s="12"/>
      <c r="K31" s="166"/>
      <c r="L31" s="167"/>
      <c r="M31" s="168"/>
      <c r="N31" s="168"/>
      <c r="O31" s="168"/>
      <c r="P31" s="168"/>
      <c r="Q31" s="41"/>
      <c r="R31" s="18">
        <v>0.08</v>
      </c>
      <c r="S31" s="13"/>
      <c r="T31" s="28"/>
      <c r="U31" s="28"/>
      <c r="V31" s="29"/>
    </row>
    <row r="32" spans="1:22" x14ac:dyDescent="0.25">
      <c r="A32" s="2"/>
      <c r="B32" s="9"/>
      <c r="C32" s="9"/>
      <c r="D32" s="9"/>
      <c r="E32" s="9"/>
      <c r="F32" s="9"/>
      <c r="G32" s="9"/>
      <c r="H32" s="9"/>
      <c r="I32" s="9"/>
      <c r="J32" s="12"/>
      <c r="K32" s="166"/>
      <c r="L32" s="167"/>
      <c r="M32" s="168"/>
      <c r="N32" s="168"/>
      <c r="O32" s="168"/>
      <c r="P32" s="168"/>
      <c r="Q32" s="42"/>
      <c r="R32" s="18">
        <v>0.08</v>
      </c>
      <c r="S32" s="13"/>
      <c r="T32" s="13"/>
      <c r="U32" s="3"/>
    </row>
    <row r="33" spans="1:21" ht="15.75" thickBot="1" x14ac:dyDescent="0.3">
      <c r="A33" s="2"/>
      <c r="B33" s="9"/>
      <c r="C33" s="9"/>
      <c r="D33" s="9"/>
      <c r="E33" s="9"/>
      <c r="F33" s="9"/>
      <c r="G33" s="9"/>
      <c r="H33" s="9"/>
      <c r="I33" s="9"/>
      <c r="J33" s="12"/>
      <c r="K33" s="160"/>
      <c r="L33" s="161"/>
      <c r="M33" s="162"/>
      <c r="N33" s="162"/>
      <c r="O33" s="162"/>
      <c r="P33" s="162"/>
      <c r="Q33" s="43"/>
      <c r="R33" s="18">
        <v>0.08</v>
      </c>
      <c r="S33" s="13"/>
      <c r="T33" s="13"/>
      <c r="U33" s="3"/>
    </row>
    <row r="34" spans="1:21" ht="15.75" thickBot="1" x14ac:dyDescent="0.3">
      <c r="A34" s="2"/>
      <c r="B34" s="9"/>
      <c r="C34" s="9"/>
      <c r="D34" s="9"/>
      <c r="E34" s="9"/>
      <c r="F34" s="9"/>
      <c r="G34" s="9"/>
      <c r="H34" s="9"/>
      <c r="I34" s="9"/>
      <c r="J34" s="12"/>
      <c r="K34" s="163" t="s">
        <v>23</v>
      </c>
      <c r="L34" s="164"/>
      <c r="M34" s="96">
        <f>SUM(M20:N28)</f>
        <v>35</v>
      </c>
      <c r="N34" s="96"/>
      <c r="O34" s="96">
        <f>SUM(O20:P25)</f>
        <v>18</v>
      </c>
      <c r="P34" s="165"/>
      <c r="Q34" s="45">
        <f t="shared" ref="Q34" si="1">IF(M34&gt;0,(M34-O34)/(M34),0)</f>
        <v>0.48571428571428571</v>
      </c>
      <c r="R34" s="40">
        <v>0.8</v>
      </c>
      <c r="S34" s="13"/>
      <c r="T34" s="13"/>
      <c r="U34" s="3"/>
    </row>
    <row r="35" spans="1:21" ht="15.75" thickBot="1" x14ac:dyDescent="0.3">
      <c r="A35" s="2"/>
      <c r="B35" s="9"/>
      <c r="C35" s="9"/>
      <c r="D35" s="9"/>
      <c r="E35" s="9"/>
      <c r="F35" s="9"/>
      <c r="G35" s="9"/>
      <c r="H35" s="9"/>
      <c r="I35" s="9"/>
      <c r="J35" s="12"/>
      <c r="K35" s="12"/>
      <c r="L35" s="12"/>
      <c r="M35" s="12"/>
      <c r="N35" s="12"/>
      <c r="O35" s="12"/>
      <c r="P35" s="12"/>
      <c r="Q35" s="12"/>
      <c r="R35" s="12"/>
      <c r="S35" s="4"/>
      <c r="T35" s="4"/>
    </row>
    <row r="36" spans="1:21" x14ac:dyDescent="0.25">
      <c r="A36" s="2"/>
      <c r="B36" s="75" t="s">
        <v>0</v>
      </c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7"/>
      <c r="S36" s="4"/>
      <c r="T36" s="4"/>
    </row>
    <row r="37" spans="1:21" x14ac:dyDescent="0.25">
      <c r="A37" s="2"/>
      <c r="B37" s="15" t="s">
        <v>19</v>
      </c>
      <c r="C37" s="78" t="s">
        <v>22</v>
      </c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9"/>
      <c r="S37" s="4"/>
      <c r="T37" s="4"/>
    </row>
    <row r="38" spans="1:21" x14ac:dyDescent="0.25">
      <c r="A38" s="2"/>
      <c r="B38" s="19"/>
      <c r="C38" s="80"/>
      <c r="D38" s="81"/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2"/>
      <c r="S38" s="4"/>
      <c r="T38" s="4"/>
    </row>
    <row r="39" spans="1:21" x14ac:dyDescent="0.25">
      <c r="A39" s="2"/>
      <c r="B39" s="19"/>
      <c r="C39" s="80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2"/>
      <c r="S39" s="4"/>
      <c r="T39" s="4"/>
    </row>
    <row r="40" spans="1:21" x14ac:dyDescent="0.25">
      <c r="A40" s="2"/>
      <c r="B40" s="19"/>
      <c r="C40" s="83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5"/>
      <c r="S40" s="4"/>
      <c r="T40" s="4"/>
    </row>
    <row r="41" spans="1:21" x14ac:dyDescent="0.25">
      <c r="A41" s="2"/>
      <c r="B41" s="19"/>
      <c r="C41" s="83"/>
      <c r="D41" s="84"/>
      <c r="E41" s="84"/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5"/>
      <c r="S41" s="4"/>
      <c r="T41" s="4"/>
    </row>
    <row r="42" spans="1:21" ht="15.75" thickBot="1" x14ac:dyDescent="0.3">
      <c r="A42" s="2"/>
      <c r="B42" s="16"/>
      <c r="C42" s="86"/>
      <c r="D42" s="86"/>
      <c r="E42" s="86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7"/>
      <c r="S42" s="4"/>
      <c r="T42" s="4"/>
    </row>
    <row r="43" spans="1:21" x14ac:dyDescent="0.25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</row>
    <row r="45" spans="1:21" x14ac:dyDescent="0.25">
      <c r="B45" s="88" t="s">
        <v>20</v>
      </c>
      <c r="C45" s="89"/>
      <c r="D45" s="89"/>
      <c r="E45" s="89"/>
      <c r="F45" s="89"/>
      <c r="G45" s="89"/>
      <c r="H45" s="90"/>
      <c r="I45" s="88" t="s">
        <v>21</v>
      </c>
      <c r="J45" s="89"/>
      <c r="K45" s="89"/>
      <c r="L45" s="89"/>
      <c r="M45" s="89"/>
      <c r="N45" s="89"/>
      <c r="O45" s="89"/>
      <c r="P45" s="89"/>
      <c r="Q45" s="90"/>
    </row>
    <row r="46" spans="1:21" x14ac:dyDescent="0.25">
      <c r="B46" s="91"/>
      <c r="C46" s="91"/>
      <c r="D46" s="91"/>
      <c r="E46" s="91"/>
      <c r="F46" s="91"/>
      <c r="G46" s="91"/>
      <c r="H46" s="91"/>
      <c r="I46" s="91"/>
      <c r="J46" s="91"/>
      <c r="K46" s="91"/>
      <c r="L46" s="91"/>
      <c r="M46" s="91"/>
      <c r="N46" s="91"/>
      <c r="O46" s="91"/>
      <c r="P46" s="91"/>
      <c r="Q46" s="91"/>
    </row>
    <row r="47" spans="1:21" x14ac:dyDescent="0.25">
      <c r="B47" s="91"/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91"/>
      <c r="Q47" s="91"/>
    </row>
    <row r="48" spans="1:21" x14ac:dyDescent="0.25">
      <c r="B48" s="91"/>
      <c r="C48" s="91"/>
      <c r="D48" s="91"/>
      <c r="E48" s="91"/>
      <c r="F48" s="91"/>
      <c r="G48" s="91"/>
      <c r="H48" s="91"/>
      <c r="I48" s="91"/>
      <c r="J48" s="91"/>
      <c r="K48" s="91"/>
      <c r="L48" s="91"/>
      <c r="M48" s="91"/>
      <c r="N48" s="91"/>
      <c r="O48" s="91"/>
      <c r="P48" s="91"/>
      <c r="Q48" s="91"/>
    </row>
    <row r="49" spans="2:17" x14ac:dyDescent="0.25">
      <c r="B49" s="91"/>
      <c r="C49" s="91"/>
      <c r="D49" s="91"/>
      <c r="E49" s="91"/>
      <c r="F49" s="91"/>
      <c r="G49" s="91"/>
      <c r="H49" s="91"/>
      <c r="I49" s="91"/>
      <c r="J49" s="91"/>
      <c r="K49" s="91"/>
      <c r="L49" s="91"/>
      <c r="M49" s="91"/>
      <c r="N49" s="91"/>
      <c r="O49" s="91"/>
      <c r="P49" s="91"/>
      <c r="Q49" s="91"/>
    </row>
    <row r="50" spans="2:17" x14ac:dyDescent="0.25">
      <c r="B50" s="91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</row>
    <row r="51" spans="2:17" x14ac:dyDescent="0.25">
      <c r="B51" s="74"/>
      <c r="C51" s="74"/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</row>
    <row r="60" spans="2:17" x14ac:dyDescent="0.25">
      <c r="J60" s="20"/>
    </row>
  </sheetData>
  <mergeCells count="86">
    <mergeCell ref="C11:J11"/>
    <mergeCell ref="P11:R11"/>
    <mergeCell ref="B1:R2"/>
    <mergeCell ref="B3:R3"/>
    <mergeCell ref="B4:R4"/>
    <mergeCell ref="B5:R5"/>
    <mergeCell ref="B7:R9"/>
    <mergeCell ref="C12:J12"/>
    <mergeCell ref="P12:R12"/>
    <mergeCell ref="S12:S18"/>
    <mergeCell ref="C13:J13"/>
    <mergeCell ref="K13:O13"/>
    <mergeCell ref="P13:R13"/>
    <mergeCell ref="C14:J14"/>
    <mergeCell ref="K14:O14"/>
    <mergeCell ref="P14:R14"/>
    <mergeCell ref="D18:E18"/>
    <mergeCell ref="K20:L20"/>
    <mergeCell ref="M20:N20"/>
    <mergeCell ref="O20:P20"/>
    <mergeCell ref="B15:B16"/>
    <mergeCell ref="C15:J16"/>
    <mergeCell ref="K15:O15"/>
    <mergeCell ref="P15:R15"/>
    <mergeCell ref="K16:O16"/>
    <mergeCell ref="P16:R16"/>
    <mergeCell ref="K18:R18"/>
    <mergeCell ref="B19:I19"/>
    <mergeCell ref="K19:L19"/>
    <mergeCell ref="M19:N19"/>
    <mergeCell ref="O19:P19"/>
    <mergeCell ref="K21:L21"/>
    <mergeCell ref="M21:N21"/>
    <mergeCell ref="O21:P21"/>
    <mergeCell ref="K22:L22"/>
    <mergeCell ref="M22:N22"/>
    <mergeCell ref="O22:P22"/>
    <mergeCell ref="K23:L23"/>
    <mergeCell ref="M23:N23"/>
    <mergeCell ref="O23:P23"/>
    <mergeCell ref="K24:L24"/>
    <mergeCell ref="M24:N24"/>
    <mergeCell ref="O24:P24"/>
    <mergeCell ref="K25:L25"/>
    <mergeCell ref="M25:N25"/>
    <mergeCell ref="O25:P25"/>
    <mergeCell ref="K26:L26"/>
    <mergeCell ref="M26:N26"/>
    <mergeCell ref="O26:P26"/>
    <mergeCell ref="K27:L27"/>
    <mergeCell ref="M27:N27"/>
    <mergeCell ref="O27:P27"/>
    <mergeCell ref="K28:L28"/>
    <mergeCell ref="M28:N28"/>
    <mergeCell ref="O28:P28"/>
    <mergeCell ref="K29:L29"/>
    <mergeCell ref="M29:N29"/>
    <mergeCell ref="O29:P29"/>
    <mergeCell ref="K30:L30"/>
    <mergeCell ref="M30:N30"/>
    <mergeCell ref="O30:P30"/>
    <mergeCell ref="K31:L31"/>
    <mergeCell ref="M31:N31"/>
    <mergeCell ref="O31:P31"/>
    <mergeCell ref="K32:L32"/>
    <mergeCell ref="M32:N32"/>
    <mergeCell ref="O32:P32"/>
    <mergeCell ref="K33:L33"/>
    <mergeCell ref="M33:N33"/>
    <mergeCell ref="O33:P33"/>
    <mergeCell ref="K34:L34"/>
    <mergeCell ref="M34:N34"/>
    <mergeCell ref="O34:P34"/>
    <mergeCell ref="B51:H51"/>
    <mergeCell ref="I51:Q51"/>
    <mergeCell ref="B36:R36"/>
    <mergeCell ref="C37:R37"/>
    <mergeCell ref="C38:R38"/>
    <mergeCell ref="C39:R39"/>
    <mergeCell ref="C40:R40"/>
    <mergeCell ref="C41:R41"/>
    <mergeCell ref="C42:R42"/>
    <mergeCell ref="B45:H45"/>
    <mergeCell ref="I45:Q45"/>
    <mergeCell ref="B46:H50"/>
    <mergeCell ref="I46:Q5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59999389629810485"/>
    <pageSetUpPr fitToPage="1"/>
  </sheetPr>
  <dimension ref="A1:T54"/>
  <sheetViews>
    <sheetView showGridLines="0" tabSelected="1" view="pageBreakPreview" zoomScale="85" zoomScaleNormal="60" zoomScaleSheetLayoutView="85" workbookViewId="0">
      <selection activeCell="M26" sqref="M26:N26"/>
    </sheetView>
  </sheetViews>
  <sheetFormatPr baseColWidth="10" defaultColWidth="11.42578125" defaultRowHeight="15" x14ac:dyDescent="0.25"/>
  <cols>
    <col min="1" max="1" width="1.85546875" style="1" customWidth="1"/>
    <col min="2" max="2" width="26.42578125" style="1" customWidth="1"/>
    <col min="3" max="3" width="3.28515625" style="1" customWidth="1"/>
    <col min="4" max="9" width="7.42578125" style="1" customWidth="1"/>
    <col min="10" max="10" width="8" style="1" customWidth="1"/>
    <col min="11" max="11" width="10.28515625" style="1" customWidth="1"/>
    <col min="12" max="12" width="7.42578125" style="1" customWidth="1"/>
    <col min="13" max="14" width="7.140625" style="1" customWidth="1"/>
    <col min="15" max="15" width="12" style="1" customWidth="1"/>
    <col min="16" max="16" width="1.140625" style="1" customWidth="1"/>
    <col min="17" max="17" width="13.7109375" style="1" customWidth="1"/>
    <col min="18" max="18" width="13.85546875" style="1" customWidth="1"/>
    <col min="19" max="19" width="12.5703125" style="1" customWidth="1"/>
    <col min="20" max="20" width="3.7109375" style="1" customWidth="1"/>
    <col min="21" max="16384" width="11.42578125" style="1"/>
  </cols>
  <sheetData>
    <row r="1" spans="1:20" ht="96.75" customHeight="1" x14ac:dyDescent="0.25">
      <c r="B1" s="175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7"/>
    </row>
    <row r="2" spans="1:20" ht="52.5" customHeight="1" thickBot="1" x14ac:dyDescent="0.3">
      <c r="B2" s="178" t="s">
        <v>74</v>
      </c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80"/>
    </row>
    <row r="3" spans="1:20" ht="15.75" thickBot="1" x14ac:dyDescent="0.3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73" t="s">
        <v>73</v>
      </c>
      <c r="T3" s="3"/>
    </row>
    <row r="4" spans="1:20" x14ac:dyDescent="0.25">
      <c r="B4" s="259" t="s">
        <v>3</v>
      </c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0"/>
      <c r="O4" s="260"/>
      <c r="P4" s="260"/>
      <c r="Q4" s="260"/>
      <c r="R4" s="260"/>
      <c r="S4" s="261"/>
    </row>
    <row r="5" spans="1:20" x14ac:dyDescent="0.25">
      <c r="B5" s="262"/>
      <c r="C5" s="263"/>
      <c r="D5" s="263"/>
      <c r="E5" s="263"/>
      <c r="F5" s="263"/>
      <c r="G5" s="263"/>
      <c r="H5" s="263"/>
      <c r="I5" s="263"/>
      <c r="J5" s="263"/>
      <c r="K5" s="263"/>
      <c r="L5" s="263"/>
      <c r="M5" s="263"/>
      <c r="N5" s="263"/>
      <c r="O5" s="263"/>
      <c r="P5" s="263"/>
      <c r="Q5" s="263"/>
      <c r="R5" s="263"/>
      <c r="S5" s="264"/>
    </row>
    <row r="6" spans="1:20" ht="15.75" thickBot="1" x14ac:dyDescent="0.3">
      <c r="B6" s="265"/>
      <c r="C6" s="266"/>
      <c r="D6" s="266"/>
      <c r="E6" s="266"/>
      <c r="F6" s="266"/>
      <c r="G6" s="266"/>
      <c r="H6" s="266"/>
      <c r="I6" s="266"/>
      <c r="J6" s="266"/>
      <c r="K6" s="266"/>
      <c r="L6" s="266"/>
      <c r="M6" s="266"/>
      <c r="N6" s="266"/>
      <c r="O6" s="266"/>
      <c r="P6" s="266"/>
      <c r="Q6" s="266"/>
      <c r="R6" s="266"/>
      <c r="S6" s="267"/>
    </row>
    <row r="7" spans="1:20" ht="15.75" thickBot="1" x14ac:dyDescent="0.3">
      <c r="B7" s="46"/>
      <c r="C7" s="46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"/>
    </row>
    <row r="8" spans="1:20" ht="15.75" thickBot="1" x14ac:dyDescent="0.25">
      <c r="B8" s="271" t="s">
        <v>7</v>
      </c>
      <c r="C8" s="273" t="s">
        <v>33</v>
      </c>
      <c r="D8" s="274"/>
      <c r="E8" s="274"/>
      <c r="F8" s="274"/>
      <c r="G8" s="274"/>
      <c r="H8" s="274"/>
      <c r="I8" s="274"/>
      <c r="J8" s="275"/>
      <c r="K8" s="279" t="s">
        <v>12</v>
      </c>
      <c r="L8" s="280"/>
      <c r="M8" s="280"/>
      <c r="N8" s="280"/>
      <c r="O8" s="281"/>
      <c r="P8" s="284" t="s">
        <v>56</v>
      </c>
      <c r="Q8" s="285"/>
      <c r="R8" s="48" t="s">
        <v>57</v>
      </c>
      <c r="S8" s="49" t="s">
        <v>58</v>
      </c>
      <c r="T8" s="4"/>
    </row>
    <row r="9" spans="1:20" ht="30" customHeight="1" thickBot="1" x14ac:dyDescent="0.3">
      <c r="B9" s="272"/>
      <c r="C9" s="276"/>
      <c r="D9" s="277"/>
      <c r="E9" s="277"/>
      <c r="F9" s="277"/>
      <c r="G9" s="277"/>
      <c r="H9" s="277"/>
      <c r="I9" s="277"/>
      <c r="J9" s="278"/>
      <c r="K9" s="221"/>
      <c r="L9" s="282"/>
      <c r="M9" s="282"/>
      <c r="N9" s="282"/>
      <c r="O9" s="283"/>
      <c r="P9" s="286"/>
      <c r="Q9" s="287"/>
      <c r="R9" s="50"/>
      <c r="S9" s="51"/>
      <c r="T9" s="4"/>
    </row>
    <row r="10" spans="1:20" ht="36.75" customHeight="1" thickBot="1" x14ac:dyDescent="0.3">
      <c r="B10" s="69" t="s">
        <v>9</v>
      </c>
      <c r="C10" s="268" t="s">
        <v>79</v>
      </c>
      <c r="D10" s="269"/>
      <c r="E10" s="269"/>
      <c r="F10" s="269"/>
      <c r="G10" s="269"/>
      <c r="H10" s="269"/>
      <c r="I10" s="269"/>
      <c r="J10" s="270"/>
      <c r="K10" s="257" t="s">
        <v>59</v>
      </c>
      <c r="L10" s="249"/>
      <c r="M10" s="249"/>
      <c r="N10" s="249"/>
      <c r="O10" s="258"/>
      <c r="P10" s="246" t="s">
        <v>72</v>
      </c>
      <c r="Q10" s="247"/>
      <c r="R10" s="247"/>
      <c r="S10" s="248"/>
      <c r="T10" s="131"/>
    </row>
    <row r="11" spans="1:20" ht="41.25" customHeight="1" thickBot="1" x14ac:dyDescent="0.3">
      <c r="B11" s="69" t="s">
        <v>14</v>
      </c>
      <c r="C11" s="246" t="s">
        <v>60</v>
      </c>
      <c r="D11" s="247"/>
      <c r="E11" s="247"/>
      <c r="F11" s="247"/>
      <c r="G11" s="247"/>
      <c r="H11" s="247"/>
      <c r="I11" s="247"/>
      <c r="J11" s="248"/>
      <c r="K11" s="249" t="s">
        <v>8</v>
      </c>
      <c r="L11" s="249"/>
      <c r="M11" s="249"/>
      <c r="N11" s="249"/>
      <c r="O11" s="249"/>
      <c r="P11" s="250" t="s">
        <v>61</v>
      </c>
      <c r="Q11" s="251"/>
      <c r="R11" s="251"/>
      <c r="S11" s="252"/>
      <c r="T11" s="131"/>
    </row>
    <row r="12" spans="1:20" ht="71.25" customHeight="1" thickBot="1" x14ac:dyDescent="0.3">
      <c r="B12" s="70" t="s">
        <v>10</v>
      </c>
      <c r="C12" s="250" t="s">
        <v>80</v>
      </c>
      <c r="D12" s="251"/>
      <c r="E12" s="251"/>
      <c r="F12" s="251"/>
      <c r="G12" s="251"/>
      <c r="H12" s="251"/>
      <c r="I12" s="251"/>
      <c r="J12" s="252"/>
      <c r="K12" s="253" t="s">
        <v>13</v>
      </c>
      <c r="L12" s="253"/>
      <c r="M12" s="253"/>
      <c r="N12" s="253"/>
      <c r="O12" s="253"/>
      <c r="P12" s="254">
        <v>0.8</v>
      </c>
      <c r="Q12" s="255"/>
      <c r="R12" s="255"/>
      <c r="S12" s="256"/>
      <c r="T12" s="131"/>
    </row>
    <row r="13" spans="1:20" ht="42.75" customHeight="1" x14ac:dyDescent="0.25">
      <c r="B13" s="220" t="s">
        <v>15</v>
      </c>
      <c r="C13" s="222" t="s">
        <v>65</v>
      </c>
      <c r="D13" s="223"/>
      <c r="E13" s="223"/>
      <c r="F13" s="223"/>
      <c r="G13" s="223"/>
      <c r="H13" s="223"/>
      <c r="I13" s="223"/>
      <c r="J13" s="224"/>
      <c r="K13" s="228" t="s">
        <v>16</v>
      </c>
      <c r="L13" s="229"/>
      <c r="M13" s="229"/>
      <c r="N13" s="229"/>
      <c r="O13" s="230"/>
      <c r="P13" s="231" t="s">
        <v>27</v>
      </c>
      <c r="Q13" s="232"/>
      <c r="R13" s="232"/>
      <c r="S13" s="233"/>
      <c r="T13" s="131"/>
    </row>
    <row r="14" spans="1:20" ht="59.25" customHeight="1" thickBot="1" x14ac:dyDescent="0.3">
      <c r="B14" s="221"/>
      <c r="C14" s="225"/>
      <c r="D14" s="226"/>
      <c r="E14" s="226"/>
      <c r="F14" s="226"/>
      <c r="G14" s="226"/>
      <c r="H14" s="226"/>
      <c r="I14" s="226"/>
      <c r="J14" s="227"/>
      <c r="K14" s="234" t="s">
        <v>17</v>
      </c>
      <c r="L14" s="235"/>
      <c r="M14" s="235"/>
      <c r="N14" s="235"/>
      <c r="O14" s="236"/>
      <c r="P14" s="237" t="s">
        <v>27</v>
      </c>
      <c r="Q14" s="238"/>
      <c r="R14" s="238"/>
      <c r="S14" s="239"/>
      <c r="T14" s="131"/>
    </row>
    <row r="15" spans="1:20" ht="15.75" thickBot="1" x14ac:dyDescent="0.3">
      <c r="B15" s="52"/>
      <c r="C15" s="52"/>
      <c r="D15" s="53"/>
      <c r="E15" s="53"/>
      <c r="F15" s="53"/>
      <c r="G15" s="53"/>
      <c r="H15" s="53"/>
      <c r="I15" s="53"/>
      <c r="J15" s="52"/>
      <c r="K15" s="52"/>
      <c r="L15" s="52"/>
      <c r="M15" s="53"/>
      <c r="N15" s="53"/>
      <c r="O15" s="53"/>
      <c r="P15" s="53"/>
      <c r="Q15" s="53"/>
      <c r="R15" s="53"/>
      <c r="S15" s="53"/>
      <c r="T15" s="131"/>
    </row>
    <row r="16" spans="1:20" ht="18.75" customHeight="1" thickBot="1" x14ac:dyDescent="0.3">
      <c r="A16" s="2"/>
      <c r="B16" s="54"/>
      <c r="C16" s="54"/>
      <c r="D16" s="243"/>
      <c r="E16" s="243"/>
      <c r="F16" s="54"/>
      <c r="G16" s="54"/>
      <c r="H16" s="54"/>
      <c r="I16" s="54"/>
      <c r="J16" s="55"/>
      <c r="K16" s="240" t="s">
        <v>25</v>
      </c>
      <c r="L16" s="241"/>
      <c r="M16" s="241"/>
      <c r="N16" s="241"/>
      <c r="O16" s="241"/>
      <c r="P16" s="241"/>
      <c r="Q16" s="241"/>
      <c r="R16" s="241"/>
      <c r="S16" s="242"/>
      <c r="T16" s="131"/>
    </row>
    <row r="17" spans="1:20" ht="50.25" customHeight="1" x14ac:dyDescent="0.25">
      <c r="A17" s="2"/>
      <c r="B17" s="243" t="s">
        <v>2</v>
      </c>
      <c r="C17" s="243"/>
      <c r="D17" s="243"/>
      <c r="E17" s="243"/>
      <c r="F17" s="243"/>
      <c r="G17" s="243"/>
      <c r="H17" s="243"/>
      <c r="I17" s="243"/>
      <c r="J17" s="56"/>
      <c r="K17" s="244" t="s">
        <v>18</v>
      </c>
      <c r="L17" s="245"/>
      <c r="M17" s="244" t="s">
        <v>62</v>
      </c>
      <c r="N17" s="245"/>
      <c r="O17" s="244" t="s">
        <v>63</v>
      </c>
      <c r="P17" s="245"/>
      <c r="Q17" s="71" t="s">
        <v>64</v>
      </c>
      <c r="R17" s="71" t="s">
        <v>1</v>
      </c>
      <c r="S17" s="72" t="s">
        <v>5</v>
      </c>
      <c r="T17" s="17"/>
    </row>
    <row r="18" spans="1:20" ht="15" customHeight="1" x14ac:dyDescent="0.25">
      <c r="A18" s="2"/>
      <c r="B18" s="54"/>
      <c r="C18" s="54"/>
      <c r="D18" s="54"/>
      <c r="E18" s="54"/>
      <c r="F18" s="54"/>
      <c r="G18" s="54"/>
      <c r="H18" s="54"/>
      <c r="I18" s="54"/>
      <c r="J18" s="57"/>
      <c r="K18" s="181" t="s">
        <v>66</v>
      </c>
      <c r="L18" s="182"/>
      <c r="M18" s="183"/>
      <c r="N18" s="184"/>
      <c r="O18" s="183"/>
      <c r="P18" s="184"/>
      <c r="Q18" s="58"/>
      <c r="R18" s="59">
        <f>IF(M18&gt;0,(M18-O18+Q18)/(M18+Q18),0)</f>
        <v>0</v>
      </c>
      <c r="S18" s="60">
        <v>0.8</v>
      </c>
      <c r="T18" s="13"/>
    </row>
    <row r="19" spans="1:20" x14ac:dyDescent="0.25">
      <c r="A19" s="2"/>
      <c r="B19" s="54"/>
      <c r="C19" s="54"/>
      <c r="D19" s="54"/>
      <c r="E19" s="54"/>
      <c r="F19" s="54"/>
      <c r="G19" s="54"/>
      <c r="H19" s="54"/>
      <c r="I19" s="54"/>
      <c r="J19" s="57"/>
      <c r="K19" s="181" t="s">
        <v>67</v>
      </c>
      <c r="L19" s="182"/>
      <c r="M19" s="183"/>
      <c r="N19" s="184"/>
      <c r="O19" s="183"/>
      <c r="P19" s="184"/>
      <c r="Q19" s="58"/>
      <c r="R19" s="61">
        <f t="shared" ref="R19:R23" si="0">IF(M19&gt;0,(M19-O19+Q19)/(M19+Q19),0)</f>
        <v>0</v>
      </c>
      <c r="S19" s="60">
        <v>0.8</v>
      </c>
      <c r="T19" s="13"/>
    </row>
    <row r="20" spans="1:20" x14ac:dyDescent="0.25">
      <c r="A20" s="2"/>
      <c r="B20" s="54"/>
      <c r="C20" s="54"/>
      <c r="D20" s="54"/>
      <c r="E20" s="54"/>
      <c r="F20" s="54"/>
      <c r="G20" s="54"/>
      <c r="H20" s="54"/>
      <c r="I20" s="54"/>
      <c r="J20" s="57"/>
      <c r="K20" s="181" t="s">
        <v>68</v>
      </c>
      <c r="L20" s="182"/>
      <c r="M20" s="183"/>
      <c r="N20" s="184"/>
      <c r="O20" s="183"/>
      <c r="P20" s="184"/>
      <c r="Q20" s="58"/>
      <c r="R20" s="61">
        <f t="shared" si="0"/>
        <v>0</v>
      </c>
      <c r="S20" s="60">
        <v>0.8</v>
      </c>
      <c r="T20" s="13"/>
    </row>
    <row r="21" spans="1:20" x14ac:dyDescent="0.25">
      <c r="A21" s="2"/>
      <c r="B21" s="54"/>
      <c r="C21" s="54"/>
      <c r="D21" s="54"/>
      <c r="E21" s="54"/>
      <c r="F21" s="54"/>
      <c r="G21" s="54"/>
      <c r="H21" s="54"/>
      <c r="I21" s="54"/>
      <c r="J21" s="57"/>
      <c r="K21" s="181" t="s">
        <v>69</v>
      </c>
      <c r="L21" s="182"/>
      <c r="M21" s="183"/>
      <c r="N21" s="184"/>
      <c r="O21" s="183"/>
      <c r="P21" s="184"/>
      <c r="Q21" s="58"/>
      <c r="R21" s="61">
        <f t="shared" si="0"/>
        <v>0</v>
      </c>
      <c r="S21" s="60">
        <v>0.8</v>
      </c>
      <c r="T21" s="13"/>
    </row>
    <row r="22" spans="1:20" x14ac:dyDescent="0.25">
      <c r="A22" s="2"/>
      <c r="B22" s="54"/>
      <c r="C22" s="54"/>
      <c r="D22" s="54"/>
      <c r="E22" s="54"/>
      <c r="F22" s="54"/>
      <c r="G22" s="54"/>
      <c r="H22" s="54"/>
      <c r="I22" s="54"/>
      <c r="J22" s="57"/>
      <c r="K22" s="181" t="s">
        <v>70</v>
      </c>
      <c r="L22" s="182"/>
      <c r="M22" s="183"/>
      <c r="N22" s="184"/>
      <c r="O22" s="183"/>
      <c r="P22" s="184"/>
      <c r="Q22" s="58"/>
      <c r="R22" s="61">
        <f t="shared" si="0"/>
        <v>0</v>
      </c>
      <c r="S22" s="60">
        <v>0.8</v>
      </c>
      <c r="T22" s="13"/>
    </row>
    <row r="23" spans="1:20" x14ac:dyDescent="0.25">
      <c r="A23" s="2"/>
      <c r="B23" s="54"/>
      <c r="C23" s="54"/>
      <c r="D23" s="54"/>
      <c r="E23" s="54"/>
      <c r="F23" s="54"/>
      <c r="G23" s="54"/>
      <c r="H23" s="54"/>
      <c r="I23" s="54"/>
      <c r="J23" s="57"/>
      <c r="K23" s="181" t="s">
        <v>71</v>
      </c>
      <c r="L23" s="182"/>
      <c r="M23" s="183"/>
      <c r="N23" s="184"/>
      <c r="O23" s="183"/>
      <c r="P23" s="184"/>
      <c r="Q23" s="58"/>
      <c r="R23" s="61">
        <f t="shared" si="0"/>
        <v>0</v>
      </c>
      <c r="S23" s="60">
        <v>0.8</v>
      </c>
      <c r="T23" s="13"/>
    </row>
    <row r="24" spans="1:20" x14ac:dyDescent="0.25">
      <c r="A24" s="2"/>
      <c r="B24" s="54"/>
      <c r="C24" s="54"/>
      <c r="D24" s="54"/>
      <c r="E24" s="54"/>
      <c r="F24" s="54"/>
      <c r="G24" s="54"/>
      <c r="H24" s="54"/>
      <c r="I24" s="54"/>
      <c r="J24" s="57"/>
      <c r="K24" s="181"/>
      <c r="L24" s="182"/>
      <c r="M24" s="200"/>
      <c r="N24" s="200"/>
      <c r="O24" s="200" t="s">
        <v>39</v>
      </c>
      <c r="P24" s="200"/>
      <c r="Q24" s="58"/>
      <c r="R24" s="61"/>
      <c r="S24" s="60"/>
      <c r="T24" s="13"/>
    </row>
    <row r="25" spans="1:20" x14ac:dyDescent="0.25">
      <c r="A25" s="2"/>
      <c r="B25" s="54"/>
      <c r="C25" s="54"/>
      <c r="D25" s="54"/>
      <c r="E25" s="54"/>
      <c r="F25" s="54"/>
      <c r="G25" s="54"/>
      <c r="H25" s="54"/>
      <c r="I25" s="54"/>
      <c r="J25" s="57"/>
      <c r="K25" s="181"/>
      <c r="L25" s="182"/>
      <c r="M25" s="200"/>
      <c r="N25" s="200"/>
      <c r="O25" s="200"/>
      <c r="P25" s="200"/>
      <c r="Q25" s="58"/>
      <c r="R25" s="61"/>
      <c r="S25" s="60"/>
      <c r="T25" s="13"/>
    </row>
    <row r="26" spans="1:20" x14ac:dyDescent="0.25">
      <c r="A26" s="2"/>
      <c r="B26" s="54"/>
      <c r="C26" s="54"/>
      <c r="D26" s="54"/>
      <c r="E26" s="54"/>
      <c r="F26" s="54"/>
      <c r="G26" s="54"/>
      <c r="H26" s="54"/>
      <c r="I26" s="54"/>
      <c r="J26" s="57"/>
      <c r="K26" s="181"/>
      <c r="L26" s="182"/>
      <c r="M26" s="200"/>
      <c r="N26" s="200"/>
      <c r="O26" s="200"/>
      <c r="P26" s="200"/>
      <c r="Q26" s="58"/>
      <c r="R26" s="61"/>
      <c r="S26" s="60"/>
      <c r="T26" s="13"/>
    </row>
    <row r="27" spans="1:20" x14ac:dyDescent="0.25">
      <c r="A27" s="2"/>
      <c r="B27" s="54"/>
      <c r="C27" s="54"/>
      <c r="D27" s="54"/>
      <c r="E27" s="54"/>
      <c r="F27" s="54"/>
      <c r="G27" s="54"/>
      <c r="H27" s="54"/>
      <c r="I27" s="54"/>
      <c r="J27" s="57"/>
      <c r="K27" s="181"/>
      <c r="L27" s="182"/>
      <c r="M27" s="200"/>
      <c r="N27" s="200"/>
      <c r="O27" s="200"/>
      <c r="P27" s="200"/>
      <c r="Q27" s="58"/>
      <c r="R27" s="61"/>
      <c r="S27" s="60"/>
      <c r="T27" s="13"/>
    </row>
    <row r="28" spans="1:20" x14ac:dyDescent="0.25">
      <c r="A28" s="2"/>
      <c r="B28" s="54"/>
      <c r="C28" s="54"/>
      <c r="D28" s="54"/>
      <c r="E28" s="54"/>
      <c r="F28" s="54"/>
      <c r="G28" s="54"/>
      <c r="H28" s="54"/>
      <c r="I28" s="54"/>
      <c r="J28" s="57"/>
      <c r="K28" s="181"/>
      <c r="L28" s="182"/>
      <c r="M28" s="200"/>
      <c r="N28" s="200"/>
      <c r="O28" s="200"/>
      <c r="P28" s="200"/>
      <c r="Q28" s="58"/>
      <c r="R28" s="61"/>
      <c r="S28" s="60"/>
      <c r="T28" s="13"/>
    </row>
    <row r="29" spans="1:20" x14ac:dyDescent="0.25">
      <c r="A29" s="2"/>
      <c r="B29" s="54"/>
      <c r="C29" s="54"/>
      <c r="D29" s="54"/>
      <c r="E29" s="54"/>
      <c r="F29" s="54"/>
      <c r="G29" s="54"/>
      <c r="H29" s="54"/>
      <c r="I29" s="54"/>
      <c r="J29" s="57"/>
      <c r="K29" s="181"/>
      <c r="L29" s="182"/>
      <c r="M29" s="200"/>
      <c r="N29" s="200"/>
      <c r="O29" s="200"/>
      <c r="P29" s="200"/>
      <c r="Q29" s="58"/>
      <c r="R29" s="61"/>
      <c r="S29" s="60"/>
      <c r="T29" s="13"/>
    </row>
    <row r="30" spans="1:20" x14ac:dyDescent="0.25">
      <c r="A30" s="2"/>
      <c r="B30" s="54"/>
      <c r="C30" s="54"/>
      <c r="D30" s="54"/>
      <c r="E30" s="54"/>
      <c r="F30" s="54"/>
      <c r="G30" s="54"/>
      <c r="H30" s="54"/>
      <c r="I30" s="54"/>
      <c r="J30" s="57"/>
      <c r="K30" s="181"/>
      <c r="L30" s="182"/>
      <c r="M30" s="200"/>
      <c r="N30" s="200"/>
      <c r="O30" s="200"/>
      <c r="P30" s="200"/>
      <c r="Q30" s="62"/>
      <c r="R30" s="62"/>
      <c r="S30" s="60"/>
      <c r="T30" s="13"/>
    </row>
    <row r="31" spans="1:20" ht="15.75" thickBot="1" x14ac:dyDescent="0.3">
      <c r="A31" s="2"/>
      <c r="B31" s="54"/>
      <c r="C31" s="54"/>
      <c r="D31" s="54"/>
      <c r="E31" s="54"/>
      <c r="F31" s="54"/>
      <c r="G31" s="54"/>
      <c r="H31" s="54"/>
      <c r="I31" s="54"/>
      <c r="J31" s="57"/>
      <c r="K31" s="213"/>
      <c r="L31" s="214"/>
      <c r="M31" s="215"/>
      <c r="N31" s="215"/>
      <c r="O31" s="215"/>
      <c r="P31" s="215"/>
      <c r="Q31" s="63" t="s">
        <v>39</v>
      </c>
      <c r="R31" s="63"/>
      <c r="S31" s="64"/>
      <c r="T31" s="13"/>
    </row>
    <row r="32" spans="1:20" ht="15.75" thickBot="1" x14ac:dyDescent="0.3">
      <c r="A32" s="2"/>
      <c r="B32" s="54"/>
      <c r="C32" s="54"/>
      <c r="D32" s="54"/>
      <c r="E32" s="54"/>
      <c r="F32" s="54"/>
      <c r="G32" s="54"/>
      <c r="H32" s="54"/>
      <c r="I32" s="54"/>
      <c r="J32" s="57"/>
      <c r="K32" s="216" t="s">
        <v>23</v>
      </c>
      <c r="L32" s="217"/>
      <c r="M32" s="218">
        <f>SUM(M18:N23)</f>
        <v>0</v>
      </c>
      <c r="N32" s="218"/>
      <c r="O32" s="218">
        <f>SUM(O18:P23)</f>
        <v>0</v>
      </c>
      <c r="P32" s="219"/>
      <c r="Q32" s="65">
        <f>SUM(Q18:Q23)</f>
        <v>0</v>
      </c>
      <c r="R32" s="66">
        <f>IF(M32&gt;0,(M32-O32+Q32)/(M32+Q32),0)</f>
        <v>0</v>
      </c>
      <c r="S32" s="67">
        <v>0.8</v>
      </c>
      <c r="T32" s="13"/>
    </row>
    <row r="33" spans="1:20" ht="15.75" thickBot="1" x14ac:dyDescent="0.3">
      <c r="A33" s="2"/>
      <c r="B33" s="54"/>
      <c r="C33" s="54"/>
      <c r="D33" s="54"/>
      <c r="E33" s="54"/>
      <c r="F33" s="54"/>
      <c r="G33" s="54"/>
      <c r="H33" s="54"/>
      <c r="I33" s="54"/>
      <c r="J33" s="57"/>
      <c r="K33" s="57"/>
      <c r="L33" s="57"/>
      <c r="M33" s="57"/>
      <c r="N33" s="57"/>
      <c r="O33" s="57"/>
      <c r="P33" s="57"/>
      <c r="Q33" s="57" t="s">
        <v>39</v>
      </c>
      <c r="R33" s="57"/>
      <c r="S33" s="57"/>
      <c r="T33" s="4"/>
    </row>
    <row r="34" spans="1:20" x14ac:dyDescent="0.25">
      <c r="A34" s="2"/>
      <c r="B34" s="210" t="s">
        <v>55</v>
      </c>
      <c r="C34" s="211"/>
      <c r="D34" s="211"/>
      <c r="E34" s="211"/>
      <c r="F34" s="211"/>
      <c r="G34" s="211"/>
      <c r="H34" s="211"/>
      <c r="I34" s="211"/>
      <c r="J34" s="211"/>
      <c r="K34" s="211"/>
      <c r="L34" s="211"/>
      <c r="M34" s="211"/>
      <c r="N34" s="211"/>
      <c r="O34" s="211"/>
      <c r="P34" s="211"/>
      <c r="Q34" s="211"/>
      <c r="R34" s="211"/>
      <c r="S34" s="212"/>
      <c r="T34" s="4"/>
    </row>
    <row r="35" spans="1:20" x14ac:dyDescent="0.25">
      <c r="A35" s="2"/>
      <c r="B35" s="185" t="s">
        <v>22</v>
      </c>
      <c r="C35" s="186"/>
      <c r="D35" s="186"/>
      <c r="E35" s="186"/>
      <c r="F35" s="186"/>
      <c r="G35" s="186"/>
      <c r="H35" s="186"/>
      <c r="I35" s="186"/>
      <c r="J35" s="186"/>
      <c r="K35" s="186"/>
      <c r="L35" s="186"/>
      <c r="M35" s="186"/>
      <c r="N35" s="186"/>
      <c r="O35" s="186"/>
      <c r="P35" s="186"/>
      <c r="Q35" s="186"/>
      <c r="R35" s="186"/>
      <c r="S35" s="187"/>
      <c r="T35" s="4"/>
    </row>
    <row r="36" spans="1:20" ht="15.75" customHeight="1" x14ac:dyDescent="0.25">
      <c r="A36" s="2"/>
      <c r="B36" s="188"/>
      <c r="C36" s="189"/>
      <c r="D36" s="189"/>
      <c r="E36" s="189"/>
      <c r="F36" s="189"/>
      <c r="G36" s="189"/>
      <c r="H36" s="189"/>
      <c r="I36" s="189"/>
      <c r="J36" s="189"/>
      <c r="K36" s="189"/>
      <c r="L36" s="189"/>
      <c r="M36" s="189"/>
      <c r="N36" s="189"/>
      <c r="O36" s="189"/>
      <c r="P36" s="189"/>
      <c r="Q36" s="189"/>
      <c r="R36" s="189"/>
      <c r="S36" s="190"/>
      <c r="T36" s="4"/>
    </row>
    <row r="37" spans="1:20" x14ac:dyDescent="0.25">
      <c r="B37" s="191"/>
      <c r="C37" s="192"/>
      <c r="D37" s="192"/>
      <c r="E37" s="192"/>
      <c r="F37" s="192"/>
      <c r="G37" s="192"/>
      <c r="H37" s="192"/>
      <c r="I37" s="192"/>
      <c r="J37" s="192"/>
      <c r="K37" s="192"/>
      <c r="L37" s="192"/>
      <c r="M37" s="192"/>
      <c r="N37" s="192"/>
      <c r="O37" s="192"/>
      <c r="P37" s="192"/>
      <c r="Q37" s="192"/>
      <c r="R37" s="192"/>
      <c r="S37" s="193"/>
      <c r="T37" s="4"/>
    </row>
    <row r="38" spans="1:20" x14ac:dyDescent="0.25">
      <c r="B38" s="191"/>
      <c r="C38" s="192"/>
      <c r="D38" s="192"/>
      <c r="E38" s="192"/>
      <c r="F38" s="192"/>
      <c r="G38" s="192"/>
      <c r="H38" s="192"/>
      <c r="I38" s="192"/>
      <c r="J38" s="192"/>
      <c r="K38" s="192"/>
      <c r="L38" s="192"/>
      <c r="M38" s="192"/>
      <c r="N38" s="192"/>
      <c r="O38" s="192"/>
      <c r="P38" s="192"/>
      <c r="Q38" s="192"/>
      <c r="R38" s="192"/>
      <c r="S38" s="193"/>
    </row>
    <row r="39" spans="1:20" x14ac:dyDescent="0.25">
      <c r="B39" s="191"/>
      <c r="C39" s="192"/>
      <c r="D39" s="192"/>
      <c r="E39" s="192"/>
      <c r="F39" s="192"/>
      <c r="G39" s="192"/>
      <c r="H39" s="192"/>
      <c r="I39" s="192"/>
      <c r="J39" s="192"/>
      <c r="K39" s="192"/>
      <c r="L39" s="192"/>
      <c r="M39" s="192"/>
      <c r="N39" s="192"/>
      <c r="O39" s="192"/>
      <c r="P39" s="192"/>
      <c r="Q39" s="192"/>
      <c r="R39" s="192"/>
      <c r="S39" s="193"/>
    </row>
    <row r="40" spans="1:20" ht="15" customHeight="1" thickBot="1" x14ac:dyDescent="0.3">
      <c r="B40" s="194"/>
      <c r="C40" s="195"/>
      <c r="D40" s="195"/>
      <c r="E40" s="195"/>
      <c r="F40" s="195"/>
      <c r="G40" s="195"/>
      <c r="H40" s="195"/>
      <c r="I40" s="195"/>
      <c r="J40" s="195"/>
      <c r="K40" s="195"/>
      <c r="L40" s="195"/>
      <c r="M40" s="195"/>
      <c r="N40" s="195"/>
      <c r="O40" s="195"/>
      <c r="P40" s="195"/>
      <c r="Q40" s="195"/>
      <c r="R40" s="195"/>
      <c r="S40" s="196"/>
    </row>
    <row r="41" spans="1:20" x14ac:dyDescent="0.25"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</row>
    <row r="42" spans="1:20" x14ac:dyDescent="0.25"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</row>
    <row r="43" spans="1:20" x14ac:dyDescent="0.25">
      <c r="B43" s="197" t="s">
        <v>77</v>
      </c>
      <c r="C43" s="198"/>
      <c r="D43" s="198"/>
      <c r="E43" s="198"/>
      <c r="F43" s="198"/>
      <c r="G43" s="198"/>
      <c r="H43" s="199"/>
      <c r="I43" s="197" t="s">
        <v>78</v>
      </c>
      <c r="J43" s="198"/>
      <c r="K43" s="198"/>
      <c r="L43" s="198"/>
      <c r="M43" s="198"/>
      <c r="N43" s="198"/>
      <c r="O43" s="198"/>
      <c r="P43" s="198"/>
      <c r="Q43" s="198"/>
      <c r="R43" s="199"/>
      <c r="S43" s="68"/>
    </row>
    <row r="44" spans="1:20" ht="17.25" customHeight="1" x14ac:dyDescent="0.25">
      <c r="B44" s="201" t="s">
        <v>76</v>
      </c>
      <c r="C44" s="202"/>
      <c r="D44" s="202"/>
      <c r="E44" s="202"/>
      <c r="F44" s="202"/>
      <c r="G44" s="202"/>
      <c r="H44" s="203"/>
      <c r="I44" s="201" t="s">
        <v>75</v>
      </c>
      <c r="J44" s="202"/>
      <c r="K44" s="202"/>
      <c r="L44" s="202"/>
      <c r="M44" s="202"/>
      <c r="N44" s="202"/>
      <c r="O44" s="202"/>
      <c r="P44" s="202"/>
      <c r="Q44" s="202"/>
      <c r="R44" s="203"/>
      <c r="S44" s="68"/>
    </row>
    <row r="45" spans="1:20" x14ac:dyDescent="0.25">
      <c r="B45" s="204"/>
      <c r="C45" s="205"/>
      <c r="D45" s="205"/>
      <c r="E45" s="205"/>
      <c r="F45" s="205"/>
      <c r="G45" s="205"/>
      <c r="H45" s="206"/>
      <c r="I45" s="204"/>
      <c r="J45" s="205"/>
      <c r="K45" s="205"/>
      <c r="L45" s="205"/>
      <c r="M45" s="205"/>
      <c r="N45" s="205"/>
      <c r="O45" s="205"/>
      <c r="P45" s="205"/>
      <c r="Q45" s="205"/>
      <c r="R45" s="206"/>
      <c r="S45" s="68"/>
    </row>
    <row r="46" spans="1:20" x14ac:dyDescent="0.25">
      <c r="B46" s="204"/>
      <c r="C46" s="205"/>
      <c r="D46" s="205"/>
      <c r="E46" s="205"/>
      <c r="F46" s="205"/>
      <c r="G46" s="205"/>
      <c r="H46" s="206"/>
      <c r="I46" s="204"/>
      <c r="J46" s="205"/>
      <c r="K46" s="205"/>
      <c r="L46" s="205"/>
      <c r="M46" s="205"/>
      <c r="N46" s="205"/>
      <c r="O46" s="205"/>
      <c r="P46" s="205"/>
      <c r="Q46" s="205"/>
      <c r="R46" s="206"/>
      <c r="S46" s="68"/>
    </row>
    <row r="47" spans="1:20" x14ac:dyDescent="0.25">
      <c r="B47" s="204"/>
      <c r="C47" s="205"/>
      <c r="D47" s="205"/>
      <c r="E47" s="205"/>
      <c r="F47" s="205"/>
      <c r="G47" s="205"/>
      <c r="H47" s="206"/>
      <c r="I47" s="204"/>
      <c r="J47" s="205"/>
      <c r="K47" s="205"/>
      <c r="L47" s="205"/>
      <c r="M47" s="205"/>
      <c r="N47" s="205"/>
      <c r="O47" s="205"/>
      <c r="P47" s="205"/>
      <c r="Q47" s="205"/>
      <c r="R47" s="206"/>
      <c r="S47" s="68"/>
    </row>
    <row r="48" spans="1:20" x14ac:dyDescent="0.25">
      <c r="B48" s="207"/>
      <c r="C48" s="208"/>
      <c r="D48" s="208"/>
      <c r="E48" s="208"/>
      <c r="F48" s="208"/>
      <c r="G48" s="208"/>
      <c r="H48" s="209"/>
      <c r="I48" s="207"/>
      <c r="J48" s="208"/>
      <c r="K48" s="208"/>
      <c r="L48" s="208"/>
      <c r="M48" s="208"/>
      <c r="N48" s="208"/>
      <c r="O48" s="208"/>
      <c r="P48" s="208"/>
      <c r="Q48" s="208"/>
      <c r="R48" s="209"/>
      <c r="S48" s="68"/>
    </row>
    <row r="54" spans="10:10" x14ac:dyDescent="0.25">
      <c r="J54" s="20"/>
    </row>
  </sheetData>
  <protectedRanges>
    <protectedRange sqref="B43:R48" name="firmas_1"/>
    <protectedRange sqref="P9" name="fecha_1_1_1"/>
  </protectedRanges>
  <mergeCells count="82">
    <mergeCell ref="B4:S6"/>
    <mergeCell ref="C10:J10"/>
    <mergeCell ref="P10:S10"/>
    <mergeCell ref="B8:B9"/>
    <mergeCell ref="C8:J9"/>
    <mergeCell ref="K8:O9"/>
    <mergeCell ref="P8:Q8"/>
    <mergeCell ref="P9:Q9"/>
    <mergeCell ref="B17:I17"/>
    <mergeCell ref="K17:L17"/>
    <mergeCell ref="M17:N17"/>
    <mergeCell ref="O17:P17"/>
    <mergeCell ref="T10:T16"/>
    <mergeCell ref="C11:J11"/>
    <mergeCell ref="K11:O11"/>
    <mergeCell ref="P11:S11"/>
    <mergeCell ref="C12:J12"/>
    <mergeCell ref="K12:O12"/>
    <mergeCell ref="P12:S12"/>
    <mergeCell ref="D16:E16"/>
    <mergeCell ref="K10:O10"/>
    <mergeCell ref="K13:O13"/>
    <mergeCell ref="P13:S13"/>
    <mergeCell ref="K14:O14"/>
    <mergeCell ref="P14:S14"/>
    <mergeCell ref="K16:S16"/>
    <mergeCell ref="B44:H48"/>
    <mergeCell ref="I44:R48"/>
    <mergeCell ref="O27:P27"/>
    <mergeCell ref="K28:L28"/>
    <mergeCell ref="M28:N28"/>
    <mergeCell ref="O28:P28"/>
    <mergeCell ref="B34:S34"/>
    <mergeCell ref="K31:L31"/>
    <mergeCell ref="M31:N31"/>
    <mergeCell ref="O31:P31"/>
    <mergeCell ref="K32:L32"/>
    <mergeCell ref="M32:N32"/>
    <mergeCell ref="O32:P32"/>
    <mergeCell ref="K29:L29"/>
    <mergeCell ref="M29:N29"/>
    <mergeCell ref="O29:P29"/>
    <mergeCell ref="B43:H43"/>
    <mergeCell ref="I43:R43"/>
    <mergeCell ref="M23:N23"/>
    <mergeCell ref="O23:P23"/>
    <mergeCell ref="K24:L24"/>
    <mergeCell ref="M24:N24"/>
    <mergeCell ref="O24:P24"/>
    <mergeCell ref="K25:L25"/>
    <mergeCell ref="M25:N25"/>
    <mergeCell ref="O25:P25"/>
    <mergeCell ref="K26:L26"/>
    <mergeCell ref="M26:N26"/>
    <mergeCell ref="O26:P26"/>
    <mergeCell ref="K23:L23"/>
    <mergeCell ref="K30:L30"/>
    <mergeCell ref="M30:N30"/>
    <mergeCell ref="K22:L22"/>
    <mergeCell ref="M22:N22"/>
    <mergeCell ref="O22:P22"/>
    <mergeCell ref="B35:S35"/>
    <mergeCell ref="B36:S40"/>
    <mergeCell ref="O30:P30"/>
    <mergeCell ref="K27:L27"/>
    <mergeCell ref="M27:N27"/>
    <mergeCell ref="B1:S1"/>
    <mergeCell ref="B2:S2"/>
    <mergeCell ref="K21:L21"/>
    <mergeCell ref="M21:N21"/>
    <mergeCell ref="O21:P21"/>
    <mergeCell ref="K19:L19"/>
    <mergeCell ref="M19:N19"/>
    <mergeCell ref="O19:P19"/>
    <mergeCell ref="K20:L20"/>
    <mergeCell ref="M20:N20"/>
    <mergeCell ref="O20:P20"/>
    <mergeCell ref="K18:L18"/>
    <mergeCell ref="M18:N18"/>
    <mergeCell ref="O18:P18"/>
    <mergeCell ref="B13:B14"/>
    <mergeCell ref="C13:J14"/>
  </mergeCells>
  <printOptions verticalCentered="1"/>
  <pageMargins left="0.23622047244094491" right="0.23622047244094491" top="0.74803149606299213" bottom="0.74803149606299213" header="0.31496062992125984" footer="0.31496062992125984"/>
  <pageSetup scale="5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Indicador AÑO 2020</vt:lpstr>
      <vt:lpstr>Indicador 2</vt:lpstr>
      <vt:lpstr>INDICADOR EEJ</vt:lpstr>
      <vt:lpstr>'Indicador AÑO 2020'!Área_de_impresión</vt:lpstr>
      <vt:lpstr>'INDICADOR EEJ'!Área_de_impresión</vt:lpstr>
    </vt:vector>
  </TitlesOfParts>
  <Company>Hewlett-Packard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SABE</dc:creator>
  <cp:lastModifiedBy>Alvarez Escobar, Marlon Kenner</cp:lastModifiedBy>
  <cp:lastPrinted>2022-05-06T21:57:48Z</cp:lastPrinted>
  <dcterms:created xsi:type="dcterms:W3CDTF">2014-11-07T21:53:35Z</dcterms:created>
  <dcterms:modified xsi:type="dcterms:W3CDTF">2024-02-16T19:22:05Z</dcterms:modified>
</cp:coreProperties>
</file>